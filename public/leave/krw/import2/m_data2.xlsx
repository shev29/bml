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leave\import\"/>
    </mc:Choice>
  </mc:AlternateContent>
  <xr:revisionPtr revIDLastSave="0" documentId="13_ncr:1_{C0523135-1826-459C-A80C-89AADBB126CF}" xr6:coauthVersionLast="36" xr6:coauthVersionMax="36" xr10:uidLastSave="{00000000-0000-0000-0000-000000000000}"/>
  <bookViews>
    <workbookView minimized="1" xWindow="0" yWindow="0" windowWidth="28800" windowHeight="11450" xr2:uid="{00AC7D29-31EA-481A-AF29-84EA5484D306}"/>
  </bookViews>
  <sheets>
    <sheet name="Sheet1" sheetId="1" r:id="rId1"/>
  </sheets>
  <definedNames>
    <definedName name="_xlnm._FilterDatabase" localSheetId="0" hidden="1">Sheet1!$B$1:$K$127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2" i="1"/>
</calcChain>
</file>

<file path=xl/sharedStrings.xml><?xml version="1.0" encoding="utf-8"?>
<sst xmlns="http://schemas.openxmlformats.org/spreadsheetml/2006/main" count="1434" uniqueCount="492">
  <si>
    <t>PAYROLL_ID</t>
  </si>
  <si>
    <t>NAME</t>
  </si>
  <si>
    <t>BIRTH DATE</t>
  </si>
  <si>
    <t>HIRE DATE</t>
  </si>
  <si>
    <t>TITLE</t>
  </si>
  <si>
    <t>SECTION</t>
  </si>
  <si>
    <t>LEVEL</t>
  </si>
  <si>
    <t>DEPT</t>
  </si>
  <si>
    <t>LOCATION</t>
  </si>
  <si>
    <t>TB</t>
  </si>
  <si>
    <t>NUMBER</t>
  </si>
  <si>
    <t>ASISUL KOIRIAH</t>
  </si>
  <si>
    <t>SPV WAREHOUSE</t>
  </si>
  <si>
    <t>HMSI WAREHOUSE</t>
  </si>
  <si>
    <t>SPV</t>
  </si>
  <si>
    <t>HMSI WAREHOUSE (TB1001)</t>
  </si>
  <si>
    <t>SEMPER</t>
  </si>
  <si>
    <t>TB1001</t>
  </si>
  <si>
    <t>IVAN  LESMANA</t>
  </si>
  <si>
    <t>ASST. SPV WAREHOUSE</t>
  </si>
  <si>
    <t>ASST. SPV</t>
  </si>
  <si>
    <t>YOHANES TEDE KOBAN</t>
  </si>
  <si>
    <t>OPERATOR FORKLIFT</t>
  </si>
  <si>
    <t>OPERATOR</t>
  </si>
  <si>
    <t>ASRI ARDHYARINI</t>
  </si>
  <si>
    <t>OFFICER IMPORT</t>
  </si>
  <si>
    <t>ARCHELIK</t>
  </si>
  <si>
    <t>MUHAMAD</t>
  </si>
  <si>
    <t>OFFICER WAREHOUSE</t>
  </si>
  <si>
    <t>AMULLOH</t>
  </si>
  <si>
    <t>OPERATION WAREHOUSE</t>
  </si>
  <si>
    <t>SEMPER PACKING</t>
  </si>
  <si>
    <t>SEMPER (TB1001)</t>
  </si>
  <si>
    <t>HIRMAN</t>
  </si>
  <si>
    <t>BENI SETIAWAN</t>
  </si>
  <si>
    <t>U ABDU SYAKIR</t>
  </si>
  <si>
    <t>LUKMAN HAKIM</t>
  </si>
  <si>
    <t>ARSIMIN</t>
  </si>
  <si>
    <t>SURYAMAN</t>
  </si>
  <si>
    <t>UJANG RAHMAT</t>
  </si>
  <si>
    <t>KARIMUN</t>
  </si>
  <si>
    <t>OPERATION DRIVER</t>
  </si>
  <si>
    <t>HMSI DISTRIBUTION</t>
  </si>
  <si>
    <t>HMSI DISTRIBUTION (TB1002)</t>
  </si>
  <si>
    <t>TB1002</t>
  </si>
  <si>
    <t>SAHIRIN</t>
  </si>
  <si>
    <t>M HIDAYAT ANDE</t>
  </si>
  <si>
    <t>MANAGER</t>
  </si>
  <si>
    <t>HRGA</t>
  </si>
  <si>
    <t>OFFICER</t>
  </si>
  <si>
    <t>DIDI SUMITO</t>
  </si>
  <si>
    <t>EDII &amp; UCI FORWARDING</t>
  </si>
  <si>
    <t>OPERATION</t>
  </si>
  <si>
    <t>UCI FORWARDING (TB2003)</t>
  </si>
  <si>
    <t>HEAD OFFICE</t>
  </si>
  <si>
    <t>TB2003</t>
  </si>
  <si>
    <t>DEVITA INDA DZIL ARSY</t>
  </si>
  <si>
    <t>OFFICER IMPORT UCI</t>
  </si>
  <si>
    <t>ANISSA NATA HARTONO</t>
  </si>
  <si>
    <t>BOYKE DONALD ALFIAN SIREGA</t>
  </si>
  <si>
    <t>SPV IMPORT</t>
  </si>
  <si>
    <t>NONY MALATINA</t>
  </si>
  <si>
    <t>OFFICER UCI FORWARDING</t>
  </si>
  <si>
    <t>FILDZAH FATHANIAH</t>
  </si>
  <si>
    <t>YULIANI SRI REDJEKI</t>
  </si>
  <si>
    <t>LYLYANA MAZWAR</t>
  </si>
  <si>
    <t>STAFF EXPORT</t>
  </si>
  <si>
    <t>MISNELLI</t>
  </si>
  <si>
    <t>RIKA PAAYS</t>
  </si>
  <si>
    <t>OFFICER EXPORT</t>
  </si>
  <si>
    <t>YOICHI OTANI</t>
  </si>
  <si>
    <t>MANAGER FREIGHT FORWARDING</t>
  </si>
  <si>
    <t>EXPAT</t>
  </si>
  <si>
    <t>ASST. MANAGER</t>
  </si>
  <si>
    <t>SPV HRGA</t>
  </si>
  <si>
    <t>SPV ACCOUNTING</t>
  </si>
  <si>
    <t>HIROYUKI OSAKA</t>
  </si>
  <si>
    <t>ABDUL RIKY AZIS</t>
  </si>
  <si>
    <t>AIR CARGO FORWARDING</t>
  </si>
  <si>
    <t>AIR CARGO WAREHOUSE (TB3001)</t>
  </si>
  <si>
    <t>AIRPORT</t>
  </si>
  <si>
    <t>TB3001</t>
  </si>
  <si>
    <t>HARUN AL RASYID</t>
  </si>
  <si>
    <t>OPERATIONAL WAREHOUSE</t>
  </si>
  <si>
    <t>TETSUO WAJIMA</t>
  </si>
  <si>
    <t>TB3003</t>
  </si>
  <si>
    <t>MUHAJI</t>
  </si>
  <si>
    <t>MANAGER AIR FREIGHT</t>
  </si>
  <si>
    <t>AIR CARGO FORWARDING (TB3003)</t>
  </si>
  <si>
    <t>EKO WAHYUDI</t>
  </si>
  <si>
    <t>A. DIMYATI BIN MAKMUN</t>
  </si>
  <si>
    <t>RIZKY SAGITA ARDANA</t>
  </si>
  <si>
    <t>OFFICER EXPORT AIRCARGO</t>
  </si>
  <si>
    <t>MARIHOT SITUMORANG</t>
  </si>
  <si>
    <t>DIAN KURNIA SARI</t>
  </si>
  <si>
    <t>OFFICER FINANCE</t>
  </si>
  <si>
    <t>HENDRA PILO</t>
  </si>
  <si>
    <t>SUTISNA</t>
  </si>
  <si>
    <t>ARFANIA</t>
  </si>
  <si>
    <t>SOMANTRI NATAPRAWIRA</t>
  </si>
  <si>
    <t>AYU LIYANA</t>
  </si>
  <si>
    <t>OFFICER ADMIN</t>
  </si>
  <si>
    <t>ENI LESTARI</t>
  </si>
  <si>
    <t>HARTANTO</t>
  </si>
  <si>
    <t>SRI MULYANI DHIAN SEKARTAJ</t>
  </si>
  <si>
    <t>SPV EXPORT AIR CARGO</t>
  </si>
  <si>
    <t>WALUYO</t>
  </si>
  <si>
    <t>WAHYU RIZKI UMBARA</t>
  </si>
  <si>
    <t>ADE SAGITA INDAH</t>
  </si>
  <si>
    <t>DANANG WIDIYATMOKO</t>
  </si>
  <si>
    <t>CITRA DHYANTI PUTRI DARMAW</t>
  </si>
  <si>
    <t>OFFICER AIR IMPORT</t>
  </si>
  <si>
    <t>ZUNIANA BASTONI</t>
  </si>
  <si>
    <t>HO FORWARDING (TB9001)</t>
  </si>
  <si>
    <t>TB9001</t>
  </si>
  <si>
    <t>MAIDALENI</t>
  </si>
  <si>
    <t>ASST. MANAGER EXPORT</t>
  </si>
  <si>
    <t>EXPORT &amp; PROCUREMENT</t>
  </si>
  <si>
    <t>HUSEIN OEY</t>
  </si>
  <si>
    <t>ASST. MANAGER MARKETING</t>
  </si>
  <si>
    <t>MARKETING</t>
  </si>
  <si>
    <t>JAWAHIR AING</t>
  </si>
  <si>
    <t>ALVIN SENNA</t>
  </si>
  <si>
    <t xml:space="preserve">OFFICER MARKETING </t>
  </si>
  <si>
    <t>ADE JUANDA</t>
  </si>
  <si>
    <t>SPV MARKETING</t>
  </si>
  <si>
    <t>AGUS SUHARTONO</t>
  </si>
  <si>
    <t>RIKA MANTISA SARI</t>
  </si>
  <si>
    <t>SITI KHOLILAH</t>
  </si>
  <si>
    <t>MIFTAHUR RAHMA</t>
  </si>
  <si>
    <t>OFFICER EXPORT IMPORT</t>
  </si>
  <si>
    <t>SURABAYA</t>
  </si>
  <si>
    <t>RICHARD IVANDER</t>
  </si>
  <si>
    <t>SPV PROCUREMENT</t>
  </si>
  <si>
    <t>SULISTIYANTO</t>
  </si>
  <si>
    <t>OFFICER EDII</t>
  </si>
  <si>
    <t>LEVANI DESTIARA</t>
  </si>
  <si>
    <t>OFFICER MARKETING</t>
  </si>
  <si>
    <t>RATU HANA SRI INDRAGIRI</t>
  </si>
  <si>
    <t>ILHAM PRASETYA</t>
  </si>
  <si>
    <t>RISKA SAFITRI</t>
  </si>
  <si>
    <t>IRMA YUNIARTATI</t>
  </si>
  <si>
    <t>SPV EXPORT</t>
  </si>
  <si>
    <t>TARJUKI</t>
  </si>
  <si>
    <t>OPERATION COURIER</t>
  </si>
  <si>
    <t>MUHAMAD JULIARDI</t>
  </si>
  <si>
    <t>YULIANTI ANDINI</t>
  </si>
  <si>
    <t>RIA ADELIA</t>
  </si>
  <si>
    <t>WAHYU ABADI</t>
  </si>
  <si>
    <t>DIAH KANTI WILUJENG</t>
  </si>
  <si>
    <t>NOVIA RACHMAWATI</t>
  </si>
  <si>
    <t>THIARA KURNIAWATI SAPUTRI</t>
  </si>
  <si>
    <t>AKIRA NAGAI</t>
  </si>
  <si>
    <t>MANSYUR SYAH</t>
  </si>
  <si>
    <t>OPERATOR PACKING</t>
  </si>
  <si>
    <t>HCMI (TB9003)</t>
  </si>
  <si>
    <t>TB9003</t>
  </si>
  <si>
    <t>PAULITU TAVARES</t>
  </si>
  <si>
    <t>PEDRO DA SILVA</t>
  </si>
  <si>
    <t>OFFICER SAFETY</t>
  </si>
  <si>
    <t>OKTAVIA DWI PUTRININGTYAS</t>
  </si>
  <si>
    <t>MUHAMMAD REZA AMINULLAH</t>
  </si>
  <si>
    <t>HERYAJUN PRASETYADI</t>
  </si>
  <si>
    <t>OPERATION PACKING</t>
  </si>
  <si>
    <t>RIDHO AJI PRAYOGA</t>
  </si>
  <si>
    <t>ALAN ADI GUNAWAN</t>
  </si>
  <si>
    <t>SANTO</t>
  </si>
  <si>
    <t>OCEAN IMPORT (TB9006)</t>
  </si>
  <si>
    <t>TB9006</t>
  </si>
  <si>
    <t>RURIE OKTARINI</t>
  </si>
  <si>
    <t>SHIBAURA</t>
  </si>
  <si>
    <t>ALFONS BENRI SIHITE</t>
  </si>
  <si>
    <t>KIKI FADHILA</t>
  </si>
  <si>
    <t>BIWARANTO</t>
  </si>
  <si>
    <t>ANGGUN FITROH PAUZIAH</t>
  </si>
  <si>
    <t>PUJI NURJAYANTI</t>
  </si>
  <si>
    <t>EKA SUSANTI</t>
  </si>
  <si>
    <t>MANAGER EDII &amp; UCI FORWARDING</t>
  </si>
  <si>
    <t>ATIKA HARTARI</t>
  </si>
  <si>
    <t>OFFICER EXIM</t>
  </si>
  <si>
    <t>LIANA DAMAYANTI</t>
  </si>
  <si>
    <t>SPV EDII</t>
  </si>
  <si>
    <t>ADHYPUTRA KRAMESYWARA</t>
  </si>
  <si>
    <t>FITRI ARMAYANTI</t>
  </si>
  <si>
    <t>WUNAY NAYA WUNDYA</t>
  </si>
  <si>
    <t>MANAGER IMPORT</t>
  </si>
  <si>
    <t>DEWI NOOR AMELIA</t>
  </si>
  <si>
    <t>ASST. MANAGER TAX &amp; FINANCE</t>
  </si>
  <si>
    <t>HO ADMIN (TB9101)</t>
  </si>
  <si>
    <t>TB9101</t>
  </si>
  <si>
    <t>MAILINDA</t>
  </si>
  <si>
    <t>GM</t>
  </si>
  <si>
    <t>GM &amp; DIRECTOR (LOCAL)</t>
  </si>
  <si>
    <t>KURNIA OKTAVIANI</t>
  </si>
  <si>
    <t>MANAGER HRGA</t>
  </si>
  <si>
    <t>SUCI PRIHATININGTIAS</t>
  </si>
  <si>
    <t>SPV FINANCE</t>
  </si>
  <si>
    <t>AJENG FRASTIKA TYAS ARUM</t>
  </si>
  <si>
    <t>OFFICER TAX</t>
  </si>
  <si>
    <t>JULIET</t>
  </si>
  <si>
    <t>ASST. MANAGER HRGA</t>
  </si>
  <si>
    <t>LUKMAN CAHYADI</t>
  </si>
  <si>
    <t>OPERATOR COURIER</t>
  </si>
  <si>
    <t>INAYATUL LATIFAH</t>
  </si>
  <si>
    <t>IWAN HARIANJA</t>
  </si>
  <si>
    <t>ACCOUNTING &amp; TAX</t>
  </si>
  <si>
    <t>ARIEL SHARON</t>
  </si>
  <si>
    <t>ISO &amp; SAFETY</t>
  </si>
  <si>
    <t>IVONNE MARGARETHA TANGKA,</t>
  </si>
  <si>
    <t>ENDANG SULISTYOWATI</t>
  </si>
  <si>
    <t>OFFICER ACCOUNTING</t>
  </si>
  <si>
    <t>RATNA PUJI RAHAYU</t>
  </si>
  <si>
    <t>ADETIYA FITRIYANA</t>
  </si>
  <si>
    <t>ANISA MAHDALENA</t>
  </si>
  <si>
    <t>NADEA JASONDA</t>
  </si>
  <si>
    <t>RECEPTIONIST</t>
  </si>
  <si>
    <t>SHILVI  HAYATTUL HUSNA</t>
  </si>
  <si>
    <t>OFFICER HRGA</t>
  </si>
  <si>
    <t>DUDI RAMDANI</t>
  </si>
  <si>
    <t>SPV IT</t>
  </si>
  <si>
    <t>IT</t>
  </si>
  <si>
    <t>SULISTYOWATI HANDAYANI</t>
  </si>
  <si>
    <t>SHELVY FITRIANI</t>
  </si>
  <si>
    <t>NUGROHO</t>
  </si>
  <si>
    <t>MANAGER IT</t>
  </si>
  <si>
    <t>WINARDI EKA SAPUTRA</t>
  </si>
  <si>
    <t>ERISKA RATNA ADELIA</t>
  </si>
  <si>
    <t>OFFICER ISO</t>
  </si>
  <si>
    <t>ANJAR PUJI LESTARI</t>
  </si>
  <si>
    <t>WINDA NURMALASARI</t>
  </si>
  <si>
    <t>AYU AGUSTINA</t>
  </si>
  <si>
    <t>JEMI PAULA ANDEPI</t>
  </si>
  <si>
    <t>MANAGER ACCOUNTING &amp; TAX</t>
  </si>
  <si>
    <t>NURUL HAYAH</t>
  </si>
  <si>
    <t>BAYU BAGASKORO</t>
  </si>
  <si>
    <t>MANAGER QMR</t>
  </si>
  <si>
    <t>YUJI TAKAHASHI</t>
  </si>
  <si>
    <t>PRESIDENT DIRECTOR</t>
  </si>
  <si>
    <t>FINANCE</t>
  </si>
  <si>
    <t>IMPORT</t>
  </si>
  <si>
    <t>PREPARE BY</t>
  </si>
  <si>
    <t>117000001</t>
  </si>
  <si>
    <t>112000301</t>
  </si>
  <si>
    <t>115000076</t>
  </si>
  <si>
    <t>113000347</t>
  </si>
  <si>
    <t>113000508</t>
  </si>
  <si>
    <t>120000009</t>
  </si>
  <si>
    <t>114000008</t>
  </si>
  <si>
    <t>120010001</t>
  </si>
  <si>
    <t>119010010</t>
  </si>
  <si>
    <t>113010287</t>
  </si>
  <si>
    <t>113010303</t>
  </si>
  <si>
    <t>118010062</t>
  </si>
  <si>
    <t>113010315</t>
  </si>
  <si>
    <t>117010025</t>
  </si>
  <si>
    <t>114010077</t>
  </si>
  <si>
    <t>114010078</t>
  </si>
  <si>
    <t>119010018</t>
  </si>
  <si>
    <t>113010314</t>
  </si>
  <si>
    <t>113010518</t>
  </si>
  <si>
    <t>114010127</t>
  </si>
  <si>
    <t>115010088</t>
  </si>
  <si>
    <t>118010046</t>
  </si>
  <si>
    <t>118010049</t>
  </si>
  <si>
    <t>118000093</t>
  </si>
  <si>
    <t>114000259</t>
  </si>
  <si>
    <t>122000040</t>
  </si>
  <si>
    <t>109000005</t>
  </si>
  <si>
    <t>118000036</t>
  </si>
  <si>
    <t>123000005</t>
  </si>
  <si>
    <t>119000013</t>
  </si>
  <si>
    <t>112000007</t>
  </si>
  <si>
    <t>113000516</t>
  </si>
  <si>
    <t>113000471</t>
  </si>
  <si>
    <t>113000486</t>
  </si>
  <si>
    <t>114000180</t>
  </si>
  <si>
    <t>122000015</t>
  </si>
  <si>
    <t>118000084</t>
  </si>
  <si>
    <t>118000004</t>
  </si>
  <si>
    <t>118000006</t>
  </si>
  <si>
    <t>113000520</t>
  </si>
  <si>
    <t>103000001</t>
  </si>
  <si>
    <t>114000104</t>
  </si>
  <si>
    <t>119000007</t>
  </si>
  <si>
    <t>122000011</t>
  </si>
  <si>
    <t>111000037</t>
  </si>
  <si>
    <t>117000015</t>
  </si>
  <si>
    <t>117000021</t>
  </si>
  <si>
    <t>114000055</t>
  </si>
  <si>
    <t>117000045</t>
  </si>
  <si>
    <t>118000088</t>
  </si>
  <si>
    <t>113000469</t>
  </si>
  <si>
    <t>114000141</t>
  </si>
  <si>
    <t>197000001</t>
  </si>
  <si>
    <t>118000095</t>
  </si>
  <si>
    <t>112000002</t>
  </si>
  <si>
    <t>114000191</t>
  </si>
  <si>
    <t>115000038</t>
  </si>
  <si>
    <t>114000005</t>
  </si>
  <si>
    <t>107040003</t>
  </si>
  <si>
    <t>111040013</t>
  </si>
  <si>
    <t>112040140</t>
  </si>
  <si>
    <t>122170030</t>
  </si>
  <si>
    <t>107040002</t>
  </si>
  <si>
    <t>107040005</t>
  </si>
  <si>
    <t>112040012</t>
  </si>
  <si>
    <t>114000029</t>
  </si>
  <si>
    <t>102000002</t>
  </si>
  <si>
    <t>110000014</t>
  </si>
  <si>
    <t>112000016</t>
  </si>
  <si>
    <t>115000089</t>
  </si>
  <si>
    <t>113000472</t>
  </si>
  <si>
    <t>105000002</t>
  </si>
  <si>
    <t>123000001</t>
  </si>
  <si>
    <t>123000004</t>
  </si>
  <si>
    <t>122000035</t>
  </si>
  <si>
    <t>122000039</t>
  </si>
  <si>
    <t>111000036</t>
  </si>
  <si>
    <t>112000058</t>
  </si>
  <si>
    <t>117000028</t>
  </si>
  <si>
    <t>122000012</t>
  </si>
  <si>
    <t>117000030</t>
  </si>
  <si>
    <t>115000009</t>
  </si>
  <si>
    <t>115000074</t>
  </si>
  <si>
    <t>118000008</t>
  </si>
  <si>
    <t>114000252</t>
  </si>
  <si>
    <t>115000072</t>
  </si>
  <si>
    <t>115000090</t>
  </si>
  <si>
    <t>121060001</t>
  </si>
  <si>
    <t>122000038</t>
  </si>
  <si>
    <t>118000047</t>
  </si>
  <si>
    <t>122000041</t>
  </si>
  <si>
    <t>108000010</t>
  </si>
  <si>
    <t>122000001</t>
  </si>
  <si>
    <t>123000003</t>
  </si>
  <si>
    <t>122000023</t>
  </si>
  <si>
    <t>122000028</t>
  </si>
  <si>
    <t>123000002</t>
  </si>
  <si>
    <t>118160064</t>
  </si>
  <si>
    <t>112040132</t>
  </si>
  <si>
    <t>112040133</t>
  </si>
  <si>
    <t>112040134</t>
  </si>
  <si>
    <t>112040137</t>
  </si>
  <si>
    <t>112040141</t>
  </si>
  <si>
    <t>112040142</t>
  </si>
  <si>
    <t>112040143</t>
  </si>
  <si>
    <t>112040144</t>
  </si>
  <si>
    <t>123160006</t>
  </si>
  <si>
    <t>123160007</t>
  </si>
  <si>
    <t>122160004</t>
  </si>
  <si>
    <t>122160005</t>
  </si>
  <si>
    <t>122160006</t>
  </si>
  <si>
    <t>121140002</t>
  </si>
  <si>
    <t>122000007</t>
  </si>
  <si>
    <t>119010024</t>
  </si>
  <si>
    <t>YUJI TAKAHASHI-120000010</t>
  </si>
  <si>
    <t>MAILINDA-100000003</t>
  </si>
  <si>
    <t>JEMI PAULA ANDEPI-114000008</t>
  </si>
  <si>
    <t>MUHAJI-113010001</t>
  </si>
  <si>
    <t>IWAN HARIANJA-117000001</t>
  </si>
  <si>
    <t>IWAN HARIANJA-117000002</t>
  </si>
  <si>
    <t>IWAN HARIANJA-117000003</t>
  </si>
  <si>
    <t>IWAN HARIANJA-117000004</t>
  </si>
  <si>
    <t>ARFANIA-114010183</t>
  </si>
  <si>
    <t>SHELVY FITRIANI-112000058</t>
  </si>
  <si>
    <t>SRI MULYANI DHIAN SEKARTAJ-114010127</t>
  </si>
  <si>
    <t>TETSUO WAJIMA-119010024</t>
  </si>
  <si>
    <t>HIROYUKI OSAKA-122050008</t>
  </si>
  <si>
    <t>AKIRA NAGAI-122000007</t>
  </si>
  <si>
    <t>AGUS SUHARTONO-115000082</t>
  </si>
  <si>
    <t>JULIET-123000001</t>
  </si>
  <si>
    <t>EKA SUSANTI-118000006</t>
  </si>
  <si>
    <t>YOICHI OTANI-119000015</t>
  </si>
  <si>
    <t>WUNAY NAYA WUNDYA-115000090</t>
  </si>
  <si>
    <t>MAIDALENI-103000001</t>
  </si>
  <si>
    <t>DEWI NOOR AMELIA-197000001</t>
  </si>
  <si>
    <t>HUSEIN OEY-108000010</t>
  </si>
  <si>
    <t>BIWARANTO-114000186</t>
  </si>
  <si>
    <t>ADE JUANDA-123000003</t>
  </si>
  <si>
    <t>PEDRO DA SILVA-118160064</t>
  </si>
  <si>
    <t>BOYKE DONALD ALFIAN SIREGA-119000013</t>
  </si>
  <si>
    <t>LIANA DAMAYANTI-113000520</t>
  </si>
  <si>
    <t>IRMA YUNIARTATI-111000037</t>
  </si>
  <si>
    <t>SUCI PRIHATININGTIAS-110000020</t>
  </si>
  <si>
    <t>ASISUL KOIRIAH-107040001</t>
  </si>
  <si>
    <t>ADHYPUTRA KRAMESYWARA-114000252</t>
  </si>
  <si>
    <t>BAYU BAGASKORO-118000043</t>
  </si>
  <si>
    <t>NUGROHO-117000014</t>
  </si>
  <si>
    <t>ILHAM PRASETYA-122000037</t>
  </si>
  <si>
    <t>CHECK BY 1</t>
  </si>
  <si>
    <t>APPROVE BY 1</t>
  </si>
  <si>
    <t>APPROVE BY 2</t>
  </si>
  <si>
    <t>email1</t>
  </si>
  <si>
    <t>email2</t>
  </si>
  <si>
    <t>linda@logisteed.com</t>
  </si>
  <si>
    <t>iwan.harianja@logisteed.com</t>
  </si>
  <si>
    <t>endang.sulistyowati@logisteed.com</t>
  </si>
  <si>
    <t>anisa.mahdalena@logisteed.com</t>
  </si>
  <si>
    <t>anjar.lestari@logisteed.com</t>
  </si>
  <si>
    <t>winda.nurmalasari@logisteed.com</t>
  </si>
  <si>
    <t>eko.wahyudi@logisteed.com</t>
  </si>
  <si>
    <t>rizky.ardana@logisteed.com</t>
  </si>
  <si>
    <t>dian.sari@logisteed.com</t>
  </si>
  <si>
    <t>somantri.nataprawira@logisteed.com</t>
  </si>
  <si>
    <t>ayu.liyana@logisteed.com</t>
  </si>
  <si>
    <t>eni.lestari@logisteed.com</t>
  </si>
  <si>
    <t>wahyu.umbara@logisteed.com</t>
  </si>
  <si>
    <t>ade.indah@logisteed.com</t>
  </si>
  <si>
    <t>devita.arsy@logisteed.com</t>
  </si>
  <si>
    <t>jemi.andepi@logisteed.com</t>
  </si>
  <si>
    <t>tax2@logisteed.com</t>
  </si>
  <si>
    <t>jemi.paula@gmail.com</t>
  </si>
  <si>
    <t>airimport.wh1@logisteed.com</t>
  </si>
  <si>
    <t>airimport.wh2@logisteed.com</t>
  </si>
  <si>
    <t>muhaji@logisteed.com</t>
  </si>
  <si>
    <t>dimyati.makmun@logisteed.com</t>
  </si>
  <si>
    <t>sutisna@logisteed.com</t>
  </si>
  <si>
    <t>arfania@logisteed.com</t>
  </si>
  <si>
    <t>arfania.razka@gmail.com</t>
  </si>
  <si>
    <t>dhian.sekartadji@logisteed.com</t>
  </si>
  <si>
    <t>anissa.hartono@logisteed.com</t>
  </si>
  <si>
    <t>lylyana.mazwar@logisteed.com</t>
  </si>
  <si>
    <t>citra.darmawan@logisteed.com</t>
  </si>
  <si>
    <t>boyke.siregar@logisteed.com</t>
  </si>
  <si>
    <t>mala@logisteed.com</t>
  </si>
  <si>
    <t>fildzah@logisteed.com</t>
  </si>
  <si>
    <t>yuliani@logisteed.com</t>
  </si>
  <si>
    <t>rika.paays@logisteed.com</t>
  </si>
  <si>
    <t>sulistiyanto@logisteed.com</t>
  </si>
  <si>
    <t>santo@logisteed.com</t>
  </si>
  <si>
    <t>alfons.benri@logisteed.com</t>
  </si>
  <si>
    <t>eka.susanti@logisteed.com</t>
  </si>
  <si>
    <t>santhy.hassan@gmail.com</t>
  </si>
  <si>
    <t>leni@logisteed.com</t>
  </si>
  <si>
    <t>maida0305@gmail.com</t>
  </si>
  <si>
    <t>rika.mantisa@logisteed.com</t>
  </si>
  <si>
    <t>diah.kanti@logisteed.com</t>
  </si>
  <si>
    <t>oktavia.dwi@logisteed.com</t>
  </si>
  <si>
    <t>siti.kholilah@logisteed.com</t>
  </si>
  <si>
    <t>yulianti.andini@logisteed.com</t>
  </si>
  <si>
    <t>ria.adelia@logisteed.com</t>
  </si>
  <si>
    <t>novia.rachmawati@logisteed.com</t>
  </si>
  <si>
    <t>nurul.hayah@logisteed.com</t>
  </si>
  <si>
    <t>inayatul.latifah@logisteed.com</t>
  </si>
  <si>
    <t>irma@logisteed.com</t>
  </si>
  <si>
    <t>dewi@logisteed.com</t>
  </si>
  <si>
    <t>suci@logisteed.com</t>
  </si>
  <si>
    <t>thiara.saputri@logisteed.com</t>
  </si>
  <si>
    <t>ivonne@logisteed.com</t>
  </si>
  <si>
    <t>ratna.rahayu@logisteed.com</t>
  </si>
  <si>
    <t>adetiya.fitriyani@logisteed.com</t>
  </si>
  <si>
    <t>ayu.agustina@logisteed.com</t>
  </si>
  <si>
    <t>bmlops.arcelik@logisteed.com</t>
  </si>
  <si>
    <t>asisul.koiriah@logisteed.com</t>
  </si>
  <si>
    <t>ivan.lesmana@logisteed.com</t>
  </si>
  <si>
    <t>shilvi.husna@logisteed.com</t>
  </si>
  <si>
    <t>muhamad@logisteed.com</t>
  </si>
  <si>
    <t>misnelli@logisteed.com</t>
  </si>
  <si>
    <t>nia@logisteed.com</t>
  </si>
  <si>
    <t>juliet@logisteed.com</t>
  </si>
  <si>
    <t>receptionist@logisteed.com</t>
  </si>
  <si>
    <t>shelvy.fitriani@logisteed.com</t>
  </si>
  <si>
    <t>kiki.fadhila@logisteed.com</t>
  </si>
  <si>
    <t>anggun.pauziah@logisteed.com</t>
  </si>
  <si>
    <t>puji.nurjayanti@logisteed.com</t>
  </si>
  <si>
    <t>atika.hartari@logisteed.com</t>
  </si>
  <si>
    <t>fitri.armayanti@logisteed.com</t>
  </si>
  <si>
    <t>wunay.wundya@logisteed.com</t>
  </si>
  <si>
    <t>ariel.sharon@logisteed.com</t>
  </si>
  <si>
    <t>eriska.adelia@logisteed.com</t>
  </si>
  <si>
    <t>bayu.bagaskoro@logisteed.com</t>
  </si>
  <si>
    <t>dudi.ramdani@logisteed.com</t>
  </si>
  <si>
    <t>sulistyowati@logisteed.com</t>
  </si>
  <si>
    <t>general.affair@logisteed.com</t>
  </si>
  <si>
    <t>muhammad.reza@logisteed.com</t>
  </si>
  <si>
    <t>biwaranto@logisteed.com</t>
  </si>
  <si>
    <t>adhy.putra@logisteed.com</t>
  </si>
  <si>
    <t>pedro.silva@logisteed.com</t>
  </si>
  <si>
    <t>beni.setiawan@logisteed.com</t>
  </si>
  <si>
    <t>dudiramdani11@gmail.com</t>
  </si>
  <si>
    <t>nugroho@logisteed.com</t>
  </si>
  <si>
    <t>nugroho.budiman@gmail.com</t>
  </si>
  <si>
    <t>husein@logisteed.com</t>
  </si>
  <si>
    <t>bml.sales10@logisteed.com</t>
  </si>
  <si>
    <t>bml.sales1@logisteed.com</t>
  </si>
  <si>
    <t>bml.sales2@logisteed.com</t>
  </si>
  <si>
    <t>bml.sales8@logisteed.com</t>
  </si>
  <si>
    <t>bml.sales9@logisteed.com</t>
  </si>
  <si>
    <t>bml.sales@logisteed.com</t>
  </si>
  <si>
    <t>bml.sales3@logisteed.com</t>
  </si>
  <si>
    <t>bmlops.sub@logisteed.com</t>
  </si>
  <si>
    <t>Shift leader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</si>
</sst>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6">
    <xf numFmtId="0" fontId="0" fillId="0" borderId="0" xfId="0"/>
    <xf numFmtId="1" fontId="0" fillId="0" borderId="0" xfId="0" applyNumberFormat="1" applyBorder="1"/>
    <xf numFmtId="14" fontId="0" fillId="0" borderId="0" xfId="0" applyNumberFormat="1" applyBorder="1"/>
    <xf numFmtId="3" fontId="0" fillId="0" borderId="0" xfId="0" applyNumberFormat="1" applyBorder="1"/>
    <xf numFmtId="0" fontId="0" fillId="0" borderId="0" xfId="0" applyBorder="1"/>
    <xf numFmtId="1" fontId="0" fillId="0" borderId="2" xfId="0" applyNumberFormat="1" applyBorder="1"/>
    <xf numFmtId="14" fontId="0" fillId="0" borderId="2" xfId="0" applyNumberFormat="1" applyBorder="1"/>
    <xf numFmtId="3" fontId="0" fillId="0" borderId="2" xfId="0" applyNumberFormat="1" applyBorder="1"/>
    <xf numFmtId="0" fontId="0" fillId="0" borderId="3" xfId="0" applyFill="1" applyBorder="1"/>
    <xf numFmtId="3" fontId="0" fillId="0" borderId="3" xfId="0" applyNumberFormat="1" applyBorder="1"/>
    <xf numFmtId="3" fontId="0" fillId="0" borderId="4" xfId="0" applyNumberFormat="1" applyBorder="1"/>
    <xf numFmtId="0" fontId="0" fillId="0" borderId="0" xfId="0" applyNumberFormat="1" applyBorder="1" applyAlignment="1">
      <alignment horizontal="left"/>
    </xf>
    <xf numFmtId="0" fontId="0" fillId="0" borderId="3" xfId="0" applyFill="1" applyBorder="1" applyAlignment="1">
      <alignment horizontal="left"/>
    </xf>
    <xf numFmtId="1" fontId="2" fillId="0" borderId="3" xfId="0" applyNumberFormat="1" applyFont="1" applyFill="1" applyBorder="1" applyAlignment="1">
      <alignment horizontal="left"/>
    </xf>
    <xf numFmtId="1" fontId="0" fillId="0" borderId="3" xfId="0" applyNumberFormat="1" applyFill="1" applyBorder="1" applyAlignment="1">
      <alignment horizontal="left"/>
    </xf>
    <xf numFmtId="1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1" fontId="0" fillId="0" borderId="1" xfId="0" applyNumberForma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1" fontId="0" fillId="0" borderId="1" xfId="0" applyNumberFormat="1" applyFont="1" applyFill="1" applyBorder="1" applyAlignment="1">
      <alignment horizontal="left"/>
    </xf>
    <xf numFmtId="1" fontId="0" fillId="0" borderId="0" xfId="0" applyNumberFormat="1" applyFont="1" applyFill="1" applyBorder="1" applyAlignment="1">
      <alignment horizontal="left"/>
    </xf>
    <xf numFmtId="0" fontId="0" fillId="0" borderId="0" xfId="0" applyNumberFormat="1" applyBorder="1"/>
    <xf numFmtId="0" fontId="0" fillId="0" borderId="0" xfId="0" applyNumberFormat="1" applyFont="1" applyAlignment="1">
      <alignment horizontal="left" vertical="center" wrapText="1"/>
    </xf>
    <xf numFmtId="0" fontId="1" fillId="0" borderId="0" xfId="0" applyNumberFormat="1" applyFont="1" applyBorder="1" applyAlignment="1">
      <alignment horizontal="center" vertical="center"/>
    </xf>
    <xf numFmtId="1" fontId="1" fillId="0" borderId="0" xfId="0" applyNumberFormat="1" applyFont="1" applyBorder="1" applyAlignment="1">
      <alignment horizontal="center" vertical="center"/>
    </xf>
    <xf numFmtId="14" fontId="1" fillId="0" borderId="0" xfId="0" applyNumberFormat="1" applyFont="1" applyBorder="1" applyAlignment="1">
      <alignment horizontal="center" vertical="center"/>
    </xf>
    <xf numFmtId="3" fontId="1" fillId="0" borderId="0" xfId="0" applyNumberFormat="1" applyFont="1" applyBorder="1" applyAlignment="1">
      <alignment horizontal="center" vertical="center"/>
    </xf>
    <xf numFmtId="3" fontId="1" fillId="0" borderId="3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3" fontId="1" fillId="0" borderId="1" xfId="0" applyNumberFormat="1" applyFont="1" applyBorder="1" applyAlignment="1">
      <alignment horizontal="center" vertical="center"/>
    </xf>
    <xf numFmtId="3" fontId="0" fillId="0" borderId="1" xfId="0" applyNumberFormat="1" applyBorder="1"/>
    <xf numFmtId="3" fontId="3" fillId="0" borderId="1" xfId="1" applyNumberFormat="1" applyBorder="1"/>
    <xf numFmtId="3" fontId="3" fillId="0" borderId="0" xfId="1" applyNumberFormat="1" applyBorder="1"/>
    <xf numFmtId="3" fontId="3" fillId="0" borderId="3" xfId="1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rfania@logisteed.com" TargetMode="External"/><Relationship Id="rId18" Type="http://schemas.openxmlformats.org/officeDocument/2006/relationships/hyperlink" Target="mailto:devita.arsy@logisteed.com" TargetMode="External"/><Relationship Id="rId26" Type="http://schemas.openxmlformats.org/officeDocument/2006/relationships/hyperlink" Target="mailto:sulistiyanto@logisteed.com" TargetMode="External"/><Relationship Id="rId39" Type="http://schemas.openxmlformats.org/officeDocument/2006/relationships/hyperlink" Target="mailto:thiara.saputri@logisteed.com" TargetMode="External"/><Relationship Id="rId21" Type="http://schemas.openxmlformats.org/officeDocument/2006/relationships/hyperlink" Target="mailto:mala@logisteed.com" TargetMode="External"/><Relationship Id="rId34" Type="http://schemas.openxmlformats.org/officeDocument/2006/relationships/hyperlink" Target="mailto:siti.kholilah@logisteed.com" TargetMode="External"/><Relationship Id="rId42" Type="http://schemas.openxmlformats.org/officeDocument/2006/relationships/hyperlink" Target="mailto:suci@logisteed.com" TargetMode="External"/><Relationship Id="rId47" Type="http://schemas.openxmlformats.org/officeDocument/2006/relationships/hyperlink" Target="mailto:asisul.koiriah@logisteed.com" TargetMode="External"/><Relationship Id="rId50" Type="http://schemas.openxmlformats.org/officeDocument/2006/relationships/hyperlink" Target="mailto:dudi.ramdani@logisteed.com" TargetMode="External"/><Relationship Id="rId55" Type="http://schemas.openxmlformats.org/officeDocument/2006/relationships/printerSettings" Target="../printerSettings/printerSettings1.bin"/><Relationship Id="rId7" Type="http://schemas.openxmlformats.org/officeDocument/2006/relationships/hyperlink" Target="mailto:muhaji@logisteed.com" TargetMode="External"/><Relationship Id="rId2" Type="http://schemas.openxmlformats.org/officeDocument/2006/relationships/hyperlink" Target="mailto:iwan.harianja@logisteed.com" TargetMode="External"/><Relationship Id="rId16" Type="http://schemas.openxmlformats.org/officeDocument/2006/relationships/hyperlink" Target="mailto:wahyu.umbara@logisteed.com" TargetMode="External"/><Relationship Id="rId29" Type="http://schemas.openxmlformats.org/officeDocument/2006/relationships/hyperlink" Target="mailto:eka.susanti@logisteed.com" TargetMode="External"/><Relationship Id="rId11" Type="http://schemas.openxmlformats.org/officeDocument/2006/relationships/hyperlink" Target="mailto:sutisna@logisteed.com" TargetMode="External"/><Relationship Id="rId24" Type="http://schemas.openxmlformats.org/officeDocument/2006/relationships/hyperlink" Target="mailto:lylyana.mazwar@logisteed.com" TargetMode="External"/><Relationship Id="rId32" Type="http://schemas.openxmlformats.org/officeDocument/2006/relationships/hyperlink" Target="mailto:maida0305@gmail.com" TargetMode="External"/><Relationship Id="rId37" Type="http://schemas.openxmlformats.org/officeDocument/2006/relationships/hyperlink" Target="mailto:diah.kanti@logisteed.com" TargetMode="External"/><Relationship Id="rId40" Type="http://schemas.openxmlformats.org/officeDocument/2006/relationships/hyperlink" Target="mailto:nurul.hayah@logisteed.com" TargetMode="External"/><Relationship Id="rId45" Type="http://schemas.openxmlformats.org/officeDocument/2006/relationships/hyperlink" Target="mailto:ratna.rahayu@logisteed.com" TargetMode="External"/><Relationship Id="rId53" Type="http://schemas.openxmlformats.org/officeDocument/2006/relationships/hyperlink" Target="mailto:nugroho.budiman@gmail.com" TargetMode="External"/><Relationship Id="rId5" Type="http://schemas.openxmlformats.org/officeDocument/2006/relationships/hyperlink" Target="mailto:airimport.wh1@logisteed.com" TargetMode="External"/><Relationship Id="rId10" Type="http://schemas.openxmlformats.org/officeDocument/2006/relationships/hyperlink" Target="mailto:dian.sari@logisteed.com" TargetMode="External"/><Relationship Id="rId19" Type="http://schemas.openxmlformats.org/officeDocument/2006/relationships/hyperlink" Target="mailto:anissa.hartono@logisteed.com" TargetMode="External"/><Relationship Id="rId31" Type="http://schemas.openxmlformats.org/officeDocument/2006/relationships/hyperlink" Target="mailto:leni@logisteed.com" TargetMode="External"/><Relationship Id="rId44" Type="http://schemas.openxmlformats.org/officeDocument/2006/relationships/hyperlink" Target="mailto:ivonne@logisteed.com" TargetMode="External"/><Relationship Id="rId52" Type="http://schemas.openxmlformats.org/officeDocument/2006/relationships/hyperlink" Target="mailto:nugroho@logisteed.com" TargetMode="External"/><Relationship Id="rId4" Type="http://schemas.openxmlformats.org/officeDocument/2006/relationships/hyperlink" Target="mailto:jemi.paula@gmail.com" TargetMode="External"/><Relationship Id="rId9" Type="http://schemas.openxmlformats.org/officeDocument/2006/relationships/hyperlink" Target="mailto:rizky.ardana@logisteed.com" TargetMode="External"/><Relationship Id="rId14" Type="http://schemas.openxmlformats.org/officeDocument/2006/relationships/hyperlink" Target="mailto:somantri.nataprawira@logisteed.com" TargetMode="External"/><Relationship Id="rId22" Type="http://schemas.openxmlformats.org/officeDocument/2006/relationships/hyperlink" Target="mailto:fildzah@logisteed.com" TargetMode="External"/><Relationship Id="rId27" Type="http://schemas.openxmlformats.org/officeDocument/2006/relationships/hyperlink" Target="mailto:santo@logisteed.com" TargetMode="External"/><Relationship Id="rId30" Type="http://schemas.openxmlformats.org/officeDocument/2006/relationships/hyperlink" Target="mailto:santhy.hassan@gmail.com" TargetMode="External"/><Relationship Id="rId35" Type="http://schemas.openxmlformats.org/officeDocument/2006/relationships/hyperlink" Target="mailto:irma@logisteed.com" TargetMode="External"/><Relationship Id="rId43" Type="http://schemas.openxmlformats.org/officeDocument/2006/relationships/hyperlink" Target="mailto:inayatul.latifah@logisteed.com" TargetMode="External"/><Relationship Id="rId48" Type="http://schemas.openxmlformats.org/officeDocument/2006/relationships/hyperlink" Target="mailto:misnelli@logisteed.com" TargetMode="External"/><Relationship Id="rId8" Type="http://schemas.openxmlformats.org/officeDocument/2006/relationships/hyperlink" Target="mailto:eko.wahyudi@logisteed.com" TargetMode="External"/><Relationship Id="rId51" Type="http://schemas.openxmlformats.org/officeDocument/2006/relationships/hyperlink" Target="mailto:dudiramdani11@gmail.com" TargetMode="External"/><Relationship Id="rId3" Type="http://schemas.openxmlformats.org/officeDocument/2006/relationships/hyperlink" Target="mailto:anjar.lestari@logisteed.com" TargetMode="External"/><Relationship Id="rId12" Type="http://schemas.openxmlformats.org/officeDocument/2006/relationships/hyperlink" Target="mailto:arfania.razka@gmail.com" TargetMode="External"/><Relationship Id="rId17" Type="http://schemas.openxmlformats.org/officeDocument/2006/relationships/hyperlink" Target="mailto:ade.indah@logisteed.com" TargetMode="External"/><Relationship Id="rId25" Type="http://schemas.openxmlformats.org/officeDocument/2006/relationships/hyperlink" Target="mailto:rika.paays@logisteed.com" TargetMode="External"/><Relationship Id="rId33" Type="http://schemas.openxmlformats.org/officeDocument/2006/relationships/hyperlink" Target="mailto:rika.mantisa@logisteed.com" TargetMode="External"/><Relationship Id="rId38" Type="http://schemas.openxmlformats.org/officeDocument/2006/relationships/hyperlink" Target="mailto:novia.rachmawati@logisteed.com" TargetMode="External"/><Relationship Id="rId46" Type="http://schemas.openxmlformats.org/officeDocument/2006/relationships/hyperlink" Target="mailto:ayu.agustina@logisteed.com" TargetMode="External"/><Relationship Id="rId20" Type="http://schemas.openxmlformats.org/officeDocument/2006/relationships/hyperlink" Target="mailto:boyke.siregar@logisteed.com" TargetMode="External"/><Relationship Id="rId41" Type="http://schemas.openxmlformats.org/officeDocument/2006/relationships/hyperlink" Target="mailto:dewi@logisteed.com" TargetMode="External"/><Relationship Id="rId54" Type="http://schemas.openxmlformats.org/officeDocument/2006/relationships/hyperlink" Target="mailto:bml.sales@logisteed.com" TargetMode="External"/><Relationship Id="rId1" Type="http://schemas.openxmlformats.org/officeDocument/2006/relationships/hyperlink" Target="mailto:linda@logisteed.com" TargetMode="External"/><Relationship Id="rId6" Type="http://schemas.openxmlformats.org/officeDocument/2006/relationships/hyperlink" Target="mailto:airimport.wh2@logisteed.com" TargetMode="External"/><Relationship Id="rId15" Type="http://schemas.openxmlformats.org/officeDocument/2006/relationships/hyperlink" Target="mailto:dhian.sekartadji@logisteed.com" TargetMode="External"/><Relationship Id="rId23" Type="http://schemas.openxmlformats.org/officeDocument/2006/relationships/hyperlink" Target="mailto:yuliani@logisteed.com" TargetMode="External"/><Relationship Id="rId28" Type="http://schemas.openxmlformats.org/officeDocument/2006/relationships/hyperlink" Target="mailto:alfons.benri@logisteed.com" TargetMode="External"/><Relationship Id="rId36" Type="http://schemas.openxmlformats.org/officeDocument/2006/relationships/hyperlink" Target="mailto:ria.adelia@logisteed.com" TargetMode="External"/><Relationship Id="rId49" Type="http://schemas.openxmlformats.org/officeDocument/2006/relationships/hyperlink" Target="mailto:shilvi.husna@logistee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89C97-2BF7-4B68-97CD-AAFB4DC41182}">
  <dimension ref="A1:S128"/>
  <sheetViews>
    <sheetView tabSelected="1" zoomScale="70" zoomScaleNormal="70" workbookViewId="0">
      <pane xSplit="2" ySplit="1" topLeftCell="N86" activePane="bottomRight" state="frozen"/>
      <selection pane="topRight" activeCell="D1" sqref="D1"/>
      <selection pane="bottomLeft" activeCell="A4" sqref="A4"/>
      <selection pane="bottomRight" activeCell="Q88" sqref="Q88"/>
    </sheetView>
  </sheetViews>
  <sheetFormatPr defaultColWidth="9.1796875" defaultRowHeight="14.5" x14ac:dyDescent="0.35"/>
  <cols>
    <col min="1" max="1" width="12.54296875" style="21" bestFit="1" customWidth="1"/>
    <col min="2" max="2" width="30.26953125" style="1" bestFit="1" customWidth="1"/>
    <col min="3" max="4" width="11.54296875" style="2" bestFit="1" customWidth="1"/>
    <col min="5" max="5" width="32.81640625" style="3" bestFit="1" customWidth="1"/>
    <col min="6" max="6" width="24" style="3" bestFit="1" customWidth="1"/>
    <col min="7" max="7" width="15.54296875" style="3" bestFit="1" customWidth="1"/>
    <col min="8" max="8" width="32.26953125" style="3" customWidth="1"/>
    <col min="9" max="9" width="16.54296875" style="3" customWidth="1"/>
    <col min="10" max="10" width="12" style="3" customWidth="1"/>
    <col min="11" max="11" width="9" style="3" bestFit="1" customWidth="1"/>
    <col min="12" max="15" width="30.1796875" style="3" customWidth="1"/>
    <col min="16" max="16" width="36.7265625" style="16" customWidth="1"/>
    <col min="17" max="17" width="36.26953125" style="16" bestFit="1" customWidth="1"/>
    <col min="18" max="18" width="31.54296875" style="16" customWidth="1"/>
    <col min="19" max="19" width="24.90625" style="16" bestFit="1" customWidth="1"/>
    <col min="20" max="16384" width="9.1796875" style="4"/>
  </cols>
  <sheetData>
    <row r="1" spans="1:19" x14ac:dyDescent="0.35">
      <c r="A1" s="23" t="s">
        <v>0</v>
      </c>
      <c r="B1" s="24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4" t="s">
        <v>7</v>
      </c>
      <c r="I1" s="24" t="s">
        <v>8</v>
      </c>
      <c r="J1" s="24" t="s">
        <v>9</v>
      </c>
      <c r="K1" s="26" t="s">
        <v>10</v>
      </c>
      <c r="L1" s="27" t="s">
        <v>240</v>
      </c>
      <c r="M1" s="31" t="s">
        <v>392</v>
      </c>
      <c r="N1" s="31" t="s">
        <v>393</v>
      </c>
      <c r="O1" s="31" t="s">
        <v>491</v>
      </c>
      <c r="P1" s="28" t="s">
        <v>389</v>
      </c>
      <c r="Q1" s="29" t="s">
        <v>389</v>
      </c>
      <c r="R1" s="30" t="s">
        <v>390</v>
      </c>
      <c r="S1" s="29" t="s">
        <v>391</v>
      </c>
    </row>
    <row r="2" spans="1:19" x14ac:dyDescent="0.35">
      <c r="A2" s="11">
        <v>100000003</v>
      </c>
      <c r="B2" s="1" t="s">
        <v>190</v>
      </c>
      <c r="C2" s="2">
        <v>25498</v>
      </c>
      <c r="D2" s="2">
        <v>36693</v>
      </c>
      <c r="E2" s="3" t="s">
        <v>191</v>
      </c>
      <c r="F2" s="3" t="s">
        <v>192</v>
      </c>
      <c r="G2" s="3" t="s">
        <v>191</v>
      </c>
      <c r="H2" s="1" t="s">
        <v>188</v>
      </c>
      <c r="I2" s="3" t="s">
        <v>54</v>
      </c>
      <c r="J2" s="3" t="s">
        <v>189</v>
      </c>
      <c r="K2" s="3">
        <v>1</v>
      </c>
      <c r="L2" s="9" t="str">
        <f>B2</f>
        <v>MAILINDA</v>
      </c>
      <c r="M2" s="33" t="s">
        <v>394</v>
      </c>
      <c r="N2" s="32"/>
      <c r="O2" s="17"/>
      <c r="P2" s="17" t="s">
        <v>355</v>
      </c>
      <c r="Q2" s="12" t="s">
        <v>367</v>
      </c>
      <c r="R2" s="17" t="s">
        <v>355</v>
      </c>
      <c r="S2" s="12" t="s">
        <v>367</v>
      </c>
    </row>
    <row r="3" spans="1:19" x14ac:dyDescent="0.35">
      <c r="A3" s="21" t="s">
        <v>241</v>
      </c>
      <c r="B3" s="1" t="s">
        <v>204</v>
      </c>
      <c r="C3" s="2">
        <v>28830</v>
      </c>
      <c r="D3" s="2">
        <v>42744</v>
      </c>
      <c r="E3" s="3" t="s">
        <v>75</v>
      </c>
      <c r="F3" s="3" t="s">
        <v>205</v>
      </c>
      <c r="G3" s="3" t="s">
        <v>14</v>
      </c>
      <c r="H3" s="1" t="s">
        <v>188</v>
      </c>
      <c r="I3" s="3" t="s">
        <v>54</v>
      </c>
      <c r="J3" s="3" t="s">
        <v>189</v>
      </c>
      <c r="K3" s="3">
        <v>1</v>
      </c>
      <c r="L3" s="9" t="str">
        <f t="shared" ref="L3:L66" si="0">B3</f>
        <v>IWAN HARIANJA</v>
      </c>
      <c r="M3" s="34" t="s">
        <v>395</v>
      </c>
      <c r="O3" s="32">
        <v>0</v>
      </c>
      <c r="P3" s="15" t="s">
        <v>357</v>
      </c>
      <c r="Q3" s="13">
        <v>0</v>
      </c>
      <c r="R3" s="15" t="s">
        <v>356</v>
      </c>
      <c r="S3" s="13">
        <v>0</v>
      </c>
    </row>
    <row r="4" spans="1:19" x14ac:dyDescent="0.35">
      <c r="A4" s="21" t="s">
        <v>242</v>
      </c>
      <c r="B4" s="1" t="s">
        <v>209</v>
      </c>
      <c r="C4" s="2">
        <v>33644</v>
      </c>
      <c r="D4" s="2">
        <v>41261</v>
      </c>
      <c r="E4" s="3" t="s">
        <v>210</v>
      </c>
      <c r="F4" s="3" t="s">
        <v>205</v>
      </c>
      <c r="G4" s="3" t="s">
        <v>49</v>
      </c>
      <c r="H4" s="1" t="s">
        <v>188</v>
      </c>
      <c r="I4" s="3" t="s">
        <v>54</v>
      </c>
      <c r="J4" s="3" t="s">
        <v>189</v>
      </c>
      <c r="K4" s="3">
        <v>1</v>
      </c>
      <c r="L4" s="9" t="str">
        <f t="shared" si="0"/>
        <v>ENDANG SULISTYOWATI</v>
      </c>
      <c r="M4" s="32" t="s">
        <v>396</v>
      </c>
      <c r="N4" s="32"/>
      <c r="O4" s="32">
        <v>0</v>
      </c>
      <c r="P4" s="17" t="s">
        <v>359</v>
      </c>
      <c r="Q4" s="13">
        <v>0</v>
      </c>
      <c r="R4" s="15" t="s">
        <v>357</v>
      </c>
      <c r="S4" s="13">
        <v>0</v>
      </c>
    </row>
    <row r="5" spans="1:19" x14ac:dyDescent="0.35">
      <c r="A5" s="21" t="s">
        <v>243</v>
      </c>
      <c r="B5" s="1" t="s">
        <v>213</v>
      </c>
      <c r="C5" s="2">
        <v>34911</v>
      </c>
      <c r="D5" s="2">
        <v>42191</v>
      </c>
      <c r="E5" s="3" t="s">
        <v>210</v>
      </c>
      <c r="F5" s="3" t="s">
        <v>205</v>
      </c>
      <c r="G5" s="3" t="s">
        <v>49</v>
      </c>
      <c r="H5" s="1" t="s">
        <v>188</v>
      </c>
      <c r="I5" s="3" t="s">
        <v>54</v>
      </c>
      <c r="J5" s="3" t="s">
        <v>189</v>
      </c>
      <c r="K5" s="3">
        <v>1</v>
      </c>
      <c r="L5" s="9" t="str">
        <f t="shared" si="0"/>
        <v>ANISA MAHDALENA</v>
      </c>
      <c r="M5" s="32" t="s">
        <v>397</v>
      </c>
      <c r="N5" s="32"/>
      <c r="O5" s="32">
        <v>0</v>
      </c>
      <c r="P5" s="17" t="s">
        <v>359</v>
      </c>
      <c r="Q5" s="13">
        <v>0</v>
      </c>
      <c r="R5" s="15" t="s">
        <v>357</v>
      </c>
      <c r="S5" s="13">
        <v>0</v>
      </c>
    </row>
    <row r="6" spans="1:19" x14ac:dyDescent="0.35">
      <c r="A6" s="21" t="s">
        <v>244</v>
      </c>
      <c r="B6" s="1" t="s">
        <v>228</v>
      </c>
      <c r="C6" s="2">
        <v>34256</v>
      </c>
      <c r="D6" s="2">
        <v>41463</v>
      </c>
      <c r="E6" s="3" t="s">
        <v>210</v>
      </c>
      <c r="F6" s="3" t="s">
        <v>205</v>
      </c>
      <c r="G6" s="3" t="s">
        <v>49</v>
      </c>
      <c r="H6" s="1" t="s">
        <v>188</v>
      </c>
      <c r="I6" s="3" t="s">
        <v>54</v>
      </c>
      <c r="J6" s="3" t="s">
        <v>189</v>
      </c>
      <c r="K6" s="3">
        <v>1</v>
      </c>
      <c r="L6" s="9" t="str">
        <f t="shared" si="0"/>
        <v>ANJAR PUJI LESTARI</v>
      </c>
      <c r="M6" s="33" t="s">
        <v>398</v>
      </c>
      <c r="N6" s="32"/>
      <c r="O6" s="32">
        <v>0</v>
      </c>
      <c r="P6" s="17" t="s">
        <v>360</v>
      </c>
      <c r="Q6" s="13">
        <v>0</v>
      </c>
      <c r="R6" s="15" t="s">
        <v>357</v>
      </c>
      <c r="S6" s="13">
        <v>0</v>
      </c>
    </row>
    <row r="7" spans="1:19" x14ac:dyDescent="0.35">
      <c r="A7" s="21" t="s">
        <v>245</v>
      </c>
      <c r="B7" s="1" t="s">
        <v>229</v>
      </c>
      <c r="C7" s="2">
        <v>32513</v>
      </c>
      <c r="D7" s="2">
        <v>41603</v>
      </c>
      <c r="E7" s="3" t="s">
        <v>210</v>
      </c>
      <c r="F7" s="3" t="s">
        <v>205</v>
      </c>
      <c r="G7" s="3" t="s">
        <v>49</v>
      </c>
      <c r="H7" s="1" t="s">
        <v>188</v>
      </c>
      <c r="I7" s="3" t="s">
        <v>54</v>
      </c>
      <c r="J7" s="3" t="s">
        <v>189</v>
      </c>
      <c r="K7" s="3">
        <v>1</v>
      </c>
      <c r="L7" s="9" t="str">
        <f t="shared" si="0"/>
        <v>WINDA NURMALASARI</v>
      </c>
      <c r="M7" s="32" t="s">
        <v>399</v>
      </c>
      <c r="N7" s="32"/>
      <c r="O7" s="32">
        <v>0</v>
      </c>
      <c r="P7" s="17" t="s">
        <v>361</v>
      </c>
      <c r="Q7" s="13">
        <v>0</v>
      </c>
      <c r="R7" s="15" t="s">
        <v>357</v>
      </c>
      <c r="S7" s="13">
        <v>0</v>
      </c>
    </row>
    <row r="8" spans="1:19" x14ac:dyDescent="0.35">
      <c r="A8" s="21" t="s">
        <v>246</v>
      </c>
      <c r="B8" s="1" t="s">
        <v>197</v>
      </c>
      <c r="C8" s="2">
        <v>34953</v>
      </c>
      <c r="D8" s="2">
        <v>44048</v>
      </c>
      <c r="E8" s="3" t="s">
        <v>198</v>
      </c>
      <c r="F8" s="3" t="s">
        <v>205</v>
      </c>
      <c r="G8" s="3" t="s">
        <v>49</v>
      </c>
      <c r="H8" s="1" t="s">
        <v>188</v>
      </c>
      <c r="I8" s="3" t="s">
        <v>54</v>
      </c>
      <c r="J8" s="3" t="s">
        <v>189</v>
      </c>
      <c r="K8" s="3">
        <v>1</v>
      </c>
      <c r="L8" s="9" t="str">
        <f t="shared" si="0"/>
        <v>AJENG FRASTIKA TYAS ARUM</v>
      </c>
      <c r="M8" s="32" t="s">
        <v>410</v>
      </c>
      <c r="N8" s="32"/>
      <c r="O8" s="32">
        <v>0</v>
      </c>
      <c r="P8" s="17" t="s">
        <v>362</v>
      </c>
      <c r="Q8" s="13">
        <v>0</v>
      </c>
      <c r="R8" s="15" t="s">
        <v>357</v>
      </c>
      <c r="S8" s="13">
        <v>0</v>
      </c>
    </row>
    <row r="9" spans="1:19" x14ac:dyDescent="0.35">
      <c r="A9" s="21" t="s">
        <v>247</v>
      </c>
      <c r="B9" s="1" t="s">
        <v>231</v>
      </c>
      <c r="C9" s="2">
        <v>33299</v>
      </c>
      <c r="D9" s="2">
        <v>41687</v>
      </c>
      <c r="E9" s="3" t="s">
        <v>232</v>
      </c>
      <c r="F9" s="3" t="s">
        <v>205</v>
      </c>
      <c r="G9" s="3" t="s">
        <v>47</v>
      </c>
      <c r="H9" s="1" t="s">
        <v>188</v>
      </c>
      <c r="I9" s="3" t="s">
        <v>54</v>
      </c>
      <c r="J9" s="3" t="s">
        <v>189</v>
      </c>
      <c r="K9" s="3">
        <v>1</v>
      </c>
      <c r="L9" s="9" t="str">
        <f t="shared" si="0"/>
        <v>JEMI PAULA ANDEPI</v>
      </c>
      <c r="M9" s="3" t="s">
        <v>409</v>
      </c>
      <c r="N9" s="34" t="s">
        <v>411</v>
      </c>
      <c r="O9" s="32">
        <v>0</v>
      </c>
      <c r="P9" s="15" t="s">
        <v>356</v>
      </c>
      <c r="Q9" s="13">
        <v>0</v>
      </c>
      <c r="R9" s="17" t="s">
        <v>355</v>
      </c>
      <c r="S9" s="12" t="s">
        <v>367</v>
      </c>
    </row>
    <row r="10" spans="1:19" x14ac:dyDescent="0.35">
      <c r="A10" s="21" t="s">
        <v>248</v>
      </c>
      <c r="B10" s="1" t="s">
        <v>77</v>
      </c>
      <c r="C10" s="2">
        <v>33282</v>
      </c>
      <c r="D10" s="2">
        <v>43843</v>
      </c>
      <c r="E10" s="3" t="s">
        <v>83</v>
      </c>
      <c r="F10" s="3" t="s">
        <v>78</v>
      </c>
      <c r="G10" s="3" t="s">
        <v>52</v>
      </c>
      <c r="H10" s="1" t="s">
        <v>79</v>
      </c>
      <c r="I10" s="3" t="s">
        <v>80</v>
      </c>
      <c r="J10" s="3" t="s">
        <v>81</v>
      </c>
      <c r="K10" s="3">
        <v>1</v>
      </c>
      <c r="L10" s="9" t="str">
        <f t="shared" si="0"/>
        <v>ABDUL RIKY AZIS</v>
      </c>
      <c r="M10" s="33" t="s">
        <v>412</v>
      </c>
      <c r="N10" s="32"/>
      <c r="O10" s="32">
        <v>0</v>
      </c>
      <c r="P10" s="17" t="s">
        <v>363</v>
      </c>
      <c r="Q10" s="14" t="s">
        <v>365</v>
      </c>
      <c r="R10" s="15" t="s">
        <v>358</v>
      </c>
      <c r="S10" s="12">
        <v>0</v>
      </c>
    </row>
    <row r="11" spans="1:19" x14ac:dyDescent="0.35">
      <c r="A11" s="21" t="s">
        <v>249</v>
      </c>
      <c r="B11" s="1" t="s">
        <v>82</v>
      </c>
      <c r="C11" s="2">
        <v>28779</v>
      </c>
      <c r="D11" s="2">
        <v>43528</v>
      </c>
      <c r="E11" s="3" t="s">
        <v>83</v>
      </c>
      <c r="F11" s="3" t="s">
        <v>78</v>
      </c>
      <c r="G11" s="3" t="s">
        <v>52</v>
      </c>
      <c r="H11" s="1" t="s">
        <v>79</v>
      </c>
      <c r="I11" s="3" t="s">
        <v>80</v>
      </c>
      <c r="J11" s="3" t="s">
        <v>81</v>
      </c>
      <c r="K11" s="3">
        <v>1</v>
      </c>
      <c r="L11" s="9" t="str">
        <f t="shared" si="0"/>
        <v>HARUN AL RASYID</v>
      </c>
      <c r="M11" s="33" t="s">
        <v>413</v>
      </c>
      <c r="N11" s="32"/>
      <c r="O11" s="32">
        <v>0</v>
      </c>
      <c r="P11" s="17" t="s">
        <v>363</v>
      </c>
      <c r="Q11" s="14" t="s">
        <v>365</v>
      </c>
      <c r="R11" s="15" t="s">
        <v>358</v>
      </c>
      <c r="S11" s="12">
        <v>0</v>
      </c>
    </row>
    <row r="12" spans="1:19" x14ac:dyDescent="0.35">
      <c r="A12" s="11">
        <v>113010001</v>
      </c>
      <c r="B12" s="1" t="s">
        <v>86</v>
      </c>
      <c r="C12" s="2">
        <v>26334</v>
      </c>
      <c r="D12" s="2">
        <v>41275</v>
      </c>
      <c r="E12" s="3" t="s">
        <v>87</v>
      </c>
      <c r="F12" s="3" t="s">
        <v>78</v>
      </c>
      <c r="G12" s="3" t="s">
        <v>47</v>
      </c>
      <c r="H12" s="1" t="s">
        <v>88</v>
      </c>
      <c r="I12" s="3" t="s">
        <v>80</v>
      </c>
      <c r="J12" s="3" t="s">
        <v>85</v>
      </c>
      <c r="K12" s="3">
        <v>1</v>
      </c>
      <c r="L12" s="9" t="str">
        <f t="shared" si="0"/>
        <v>MUHAJI</v>
      </c>
      <c r="M12" s="34" t="s">
        <v>414</v>
      </c>
      <c r="O12" s="32">
        <v>0</v>
      </c>
      <c r="P12" s="15" t="s">
        <v>366</v>
      </c>
      <c r="Q12" s="15" t="s">
        <v>356</v>
      </c>
      <c r="R12" s="15" t="s">
        <v>356</v>
      </c>
      <c r="S12" s="17" t="s">
        <v>355</v>
      </c>
    </row>
    <row r="13" spans="1:19" x14ac:dyDescent="0.35">
      <c r="A13" s="21" t="s">
        <v>250</v>
      </c>
      <c r="B13" s="1" t="s">
        <v>89</v>
      </c>
      <c r="C13" s="2">
        <v>29711</v>
      </c>
      <c r="D13" s="2">
        <v>41337</v>
      </c>
      <c r="E13" s="3" t="s">
        <v>25</v>
      </c>
      <c r="F13" s="3" t="s">
        <v>78</v>
      </c>
      <c r="G13" s="3" t="s">
        <v>49</v>
      </c>
      <c r="H13" s="1" t="s">
        <v>88</v>
      </c>
      <c r="I13" s="3" t="s">
        <v>80</v>
      </c>
      <c r="J13" s="3" t="s">
        <v>85</v>
      </c>
      <c r="K13" s="3">
        <v>1</v>
      </c>
      <c r="L13" s="9" t="str">
        <f t="shared" si="0"/>
        <v>EKO WAHYUDI</v>
      </c>
      <c r="M13" s="33" t="s">
        <v>400</v>
      </c>
      <c r="N13" s="32"/>
      <c r="O13" s="32">
        <v>0</v>
      </c>
      <c r="P13" s="17" t="s">
        <v>363</v>
      </c>
      <c r="Q13" s="14" t="s">
        <v>365</v>
      </c>
      <c r="R13" s="15" t="s">
        <v>358</v>
      </c>
      <c r="S13" s="12">
        <v>0</v>
      </c>
    </row>
    <row r="14" spans="1:19" x14ac:dyDescent="0.35">
      <c r="A14" s="21" t="s">
        <v>251</v>
      </c>
      <c r="B14" s="1" t="s">
        <v>90</v>
      </c>
      <c r="C14" s="2">
        <v>29247</v>
      </c>
      <c r="D14" s="2">
        <v>41358</v>
      </c>
      <c r="E14" s="3" t="s">
        <v>25</v>
      </c>
      <c r="F14" s="3" t="s">
        <v>78</v>
      </c>
      <c r="G14" s="3" t="s">
        <v>49</v>
      </c>
      <c r="H14" s="1" t="s">
        <v>88</v>
      </c>
      <c r="I14" s="3" t="s">
        <v>80</v>
      </c>
      <c r="J14" s="3" t="s">
        <v>85</v>
      </c>
      <c r="K14" s="3">
        <v>1</v>
      </c>
      <c r="L14" s="9" t="str">
        <f t="shared" si="0"/>
        <v>A. DIMYATI BIN MAKMUN</v>
      </c>
      <c r="M14" s="32" t="s">
        <v>415</v>
      </c>
      <c r="N14" s="32"/>
      <c r="O14" s="32">
        <v>0</v>
      </c>
      <c r="P14" s="17" t="s">
        <v>363</v>
      </c>
      <c r="Q14" s="14" t="s">
        <v>365</v>
      </c>
      <c r="R14" s="15" t="s">
        <v>358</v>
      </c>
      <c r="S14" s="12">
        <v>0</v>
      </c>
    </row>
    <row r="15" spans="1:19" x14ac:dyDescent="0.35">
      <c r="A15" s="21" t="s">
        <v>252</v>
      </c>
      <c r="B15" s="1" t="s">
        <v>91</v>
      </c>
      <c r="C15" s="2">
        <v>32850</v>
      </c>
      <c r="D15" s="2">
        <v>43325</v>
      </c>
      <c r="E15" s="3" t="s">
        <v>92</v>
      </c>
      <c r="F15" s="3" t="s">
        <v>78</v>
      </c>
      <c r="G15" s="3" t="s">
        <v>49</v>
      </c>
      <c r="H15" s="1" t="s">
        <v>88</v>
      </c>
      <c r="I15" s="3" t="s">
        <v>80</v>
      </c>
      <c r="J15" s="3" t="s">
        <v>85</v>
      </c>
      <c r="K15" s="3">
        <v>1</v>
      </c>
      <c r="L15" s="9" t="str">
        <f t="shared" si="0"/>
        <v>RIZKY SAGITA ARDANA</v>
      </c>
      <c r="M15" s="33" t="s">
        <v>401</v>
      </c>
      <c r="N15" s="32"/>
      <c r="O15" s="32">
        <v>0</v>
      </c>
      <c r="P15" s="17" t="s">
        <v>363</v>
      </c>
      <c r="Q15" s="14" t="s">
        <v>365</v>
      </c>
      <c r="R15" s="15" t="s">
        <v>358</v>
      </c>
      <c r="S15" s="12">
        <v>0</v>
      </c>
    </row>
    <row r="16" spans="1:19" x14ac:dyDescent="0.35">
      <c r="A16" s="21" t="s">
        <v>253</v>
      </c>
      <c r="B16" s="1" t="s">
        <v>93</v>
      </c>
      <c r="C16" s="2">
        <v>27522</v>
      </c>
      <c r="D16" s="2">
        <v>41408</v>
      </c>
      <c r="E16" s="3" t="s">
        <v>41</v>
      </c>
      <c r="F16" s="3" t="s">
        <v>78</v>
      </c>
      <c r="G16" s="3" t="s">
        <v>52</v>
      </c>
      <c r="H16" s="1" t="s">
        <v>88</v>
      </c>
      <c r="I16" s="3" t="s">
        <v>80</v>
      </c>
      <c r="J16" s="3" t="s">
        <v>85</v>
      </c>
      <c r="K16" s="3">
        <v>1</v>
      </c>
      <c r="L16" s="9" t="str">
        <f t="shared" si="0"/>
        <v>MARIHOT SITUMORANG</v>
      </c>
      <c r="M16" s="32"/>
      <c r="N16" s="32"/>
      <c r="O16" s="32">
        <v>0</v>
      </c>
      <c r="P16" s="17" t="s">
        <v>363</v>
      </c>
      <c r="Q16" s="14" t="s">
        <v>365</v>
      </c>
      <c r="R16" s="15" t="s">
        <v>358</v>
      </c>
      <c r="S16" s="12">
        <v>0</v>
      </c>
    </row>
    <row r="17" spans="1:19" x14ac:dyDescent="0.35">
      <c r="A17" s="21" t="s">
        <v>254</v>
      </c>
      <c r="B17" s="1" t="s">
        <v>94</v>
      </c>
      <c r="C17" s="2">
        <v>32341</v>
      </c>
      <c r="D17" s="2">
        <v>43003</v>
      </c>
      <c r="E17" s="3" t="s">
        <v>95</v>
      </c>
      <c r="F17" s="3" t="s">
        <v>78</v>
      </c>
      <c r="G17" s="3" t="s">
        <v>49</v>
      </c>
      <c r="H17" s="1" t="s">
        <v>88</v>
      </c>
      <c r="I17" s="3" t="s">
        <v>80</v>
      </c>
      <c r="J17" s="3" t="s">
        <v>85</v>
      </c>
      <c r="K17" s="3">
        <v>1</v>
      </c>
      <c r="L17" s="9" t="str">
        <f t="shared" si="0"/>
        <v>DIAN KURNIA SARI</v>
      </c>
      <c r="M17" s="33" t="s">
        <v>402</v>
      </c>
      <c r="N17" s="32"/>
      <c r="O17" s="32">
        <v>0</v>
      </c>
      <c r="P17" s="17" t="s">
        <v>363</v>
      </c>
      <c r="Q17" s="14" t="s">
        <v>365</v>
      </c>
      <c r="R17" s="15" t="s">
        <v>358</v>
      </c>
      <c r="S17" s="12">
        <v>0</v>
      </c>
    </row>
    <row r="18" spans="1:19" x14ac:dyDescent="0.35">
      <c r="A18" s="21" t="s">
        <v>255</v>
      </c>
      <c r="B18" s="1" t="s">
        <v>96</v>
      </c>
      <c r="C18" s="2">
        <v>28491</v>
      </c>
      <c r="D18" s="2">
        <v>41730</v>
      </c>
      <c r="E18" s="3" t="s">
        <v>41</v>
      </c>
      <c r="F18" s="3" t="s">
        <v>78</v>
      </c>
      <c r="G18" s="3" t="s">
        <v>52</v>
      </c>
      <c r="H18" s="1" t="s">
        <v>88</v>
      </c>
      <c r="I18" s="3" t="s">
        <v>80</v>
      </c>
      <c r="J18" s="3" t="s">
        <v>85</v>
      </c>
      <c r="K18" s="3">
        <v>1</v>
      </c>
      <c r="L18" s="9" t="str">
        <f t="shared" si="0"/>
        <v>HENDRA PILO</v>
      </c>
      <c r="M18" s="32"/>
      <c r="N18" s="32"/>
      <c r="O18" s="32">
        <v>0</v>
      </c>
      <c r="P18" s="17" t="s">
        <v>363</v>
      </c>
      <c r="Q18" s="14" t="s">
        <v>365</v>
      </c>
      <c r="R18" s="15" t="s">
        <v>358</v>
      </c>
      <c r="S18" s="12">
        <v>0</v>
      </c>
    </row>
    <row r="19" spans="1:19" x14ac:dyDescent="0.35">
      <c r="A19" s="21" t="s">
        <v>256</v>
      </c>
      <c r="B19" s="1" t="s">
        <v>97</v>
      </c>
      <c r="C19" s="2">
        <v>32300</v>
      </c>
      <c r="D19" s="2">
        <v>41733</v>
      </c>
      <c r="E19" s="3" t="s">
        <v>69</v>
      </c>
      <c r="F19" s="3" t="s">
        <v>78</v>
      </c>
      <c r="G19" s="3" t="s">
        <v>49</v>
      </c>
      <c r="H19" s="1" t="s">
        <v>88</v>
      </c>
      <c r="I19" s="3" t="s">
        <v>80</v>
      </c>
      <c r="J19" s="3" t="s">
        <v>85</v>
      </c>
      <c r="K19" s="3">
        <v>1</v>
      </c>
      <c r="L19" s="9" t="str">
        <f t="shared" si="0"/>
        <v>SUTISNA</v>
      </c>
      <c r="M19" s="33" t="s">
        <v>416</v>
      </c>
      <c r="N19" s="32"/>
      <c r="O19" s="32">
        <v>0</v>
      </c>
      <c r="P19" s="17" t="s">
        <v>363</v>
      </c>
      <c r="Q19" s="14" t="s">
        <v>365</v>
      </c>
      <c r="R19" s="15" t="s">
        <v>358</v>
      </c>
      <c r="S19" s="12">
        <v>0</v>
      </c>
    </row>
    <row r="20" spans="1:19" x14ac:dyDescent="0.35">
      <c r="A20" s="11">
        <v>114010183</v>
      </c>
      <c r="B20" s="1" t="s">
        <v>98</v>
      </c>
      <c r="C20" s="2">
        <v>27843</v>
      </c>
      <c r="D20" s="2">
        <v>41806</v>
      </c>
      <c r="E20" s="3" t="s">
        <v>25</v>
      </c>
      <c r="F20" s="3" t="s">
        <v>78</v>
      </c>
      <c r="G20" s="3" t="s">
        <v>49</v>
      </c>
      <c r="H20" s="1" t="s">
        <v>88</v>
      </c>
      <c r="I20" s="3" t="s">
        <v>80</v>
      </c>
      <c r="J20" s="3" t="s">
        <v>85</v>
      </c>
      <c r="K20" s="3">
        <v>1</v>
      </c>
      <c r="L20" s="9" t="str">
        <f t="shared" si="0"/>
        <v>ARFANIA</v>
      </c>
      <c r="M20" s="33" t="s">
        <v>417</v>
      </c>
      <c r="N20" s="33" t="s">
        <v>418</v>
      </c>
      <c r="O20" s="32">
        <v>0</v>
      </c>
      <c r="P20" s="17" t="s">
        <v>363</v>
      </c>
      <c r="Q20" s="14" t="s">
        <v>365</v>
      </c>
      <c r="R20" s="15" t="s">
        <v>358</v>
      </c>
      <c r="S20" s="12">
        <v>0</v>
      </c>
    </row>
    <row r="21" spans="1:19" x14ac:dyDescent="0.35">
      <c r="A21" s="21" t="s">
        <v>257</v>
      </c>
      <c r="B21" s="1" t="s">
        <v>99</v>
      </c>
      <c r="C21" s="2">
        <v>35105</v>
      </c>
      <c r="D21" s="2">
        <v>43598</v>
      </c>
      <c r="E21" s="3" t="s">
        <v>25</v>
      </c>
      <c r="F21" s="3" t="s">
        <v>78</v>
      </c>
      <c r="G21" s="3" t="s">
        <v>49</v>
      </c>
      <c r="H21" s="1" t="s">
        <v>88</v>
      </c>
      <c r="I21" s="3" t="s">
        <v>80</v>
      </c>
      <c r="J21" s="3" t="s">
        <v>85</v>
      </c>
      <c r="K21" s="3">
        <v>1</v>
      </c>
      <c r="L21" s="9" t="str">
        <f t="shared" si="0"/>
        <v>SOMANTRI NATAPRAWIRA</v>
      </c>
      <c r="M21" s="33" t="s">
        <v>403</v>
      </c>
      <c r="N21" s="32"/>
      <c r="O21" s="32">
        <v>0</v>
      </c>
      <c r="P21" s="17" t="s">
        <v>363</v>
      </c>
      <c r="Q21" s="14" t="s">
        <v>365</v>
      </c>
      <c r="R21" s="15" t="s">
        <v>358</v>
      </c>
      <c r="S21" s="12">
        <v>0</v>
      </c>
    </row>
    <row r="22" spans="1:19" x14ac:dyDescent="0.35">
      <c r="A22" s="21" t="s">
        <v>258</v>
      </c>
      <c r="B22" s="1" t="s">
        <v>100</v>
      </c>
      <c r="C22" s="2">
        <v>33448</v>
      </c>
      <c r="D22" s="2">
        <v>41407</v>
      </c>
      <c r="E22" s="3" t="s">
        <v>101</v>
      </c>
      <c r="F22" s="3" t="s">
        <v>78</v>
      </c>
      <c r="G22" s="3" t="s">
        <v>49</v>
      </c>
      <c r="H22" s="1" t="s">
        <v>88</v>
      </c>
      <c r="I22" s="3" t="s">
        <v>80</v>
      </c>
      <c r="J22" s="3" t="s">
        <v>85</v>
      </c>
      <c r="K22" s="3">
        <v>1</v>
      </c>
      <c r="L22" s="9" t="str">
        <f t="shared" si="0"/>
        <v>AYU LIYANA</v>
      </c>
      <c r="M22" s="32" t="s">
        <v>404</v>
      </c>
      <c r="N22" s="32"/>
      <c r="O22" s="32">
        <v>0</v>
      </c>
      <c r="P22" s="17" t="s">
        <v>363</v>
      </c>
      <c r="Q22" s="14" t="s">
        <v>365</v>
      </c>
      <c r="R22" s="15" t="s">
        <v>358</v>
      </c>
      <c r="S22" s="12">
        <v>0</v>
      </c>
    </row>
    <row r="23" spans="1:19" x14ac:dyDescent="0.35">
      <c r="A23" s="21" t="s">
        <v>259</v>
      </c>
      <c r="B23" s="1" t="s">
        <v>102</v>
      </c>
      <c r="C23" s="2">
        <v>30047</v>
      </c>
      <c r="D23" s="2">
        <v>41626</v>
      </c>
      <c r="E23" s="3" t="s">
        <v>69</v>
      </c>
      <c r="F23" s="3" t="s">
        <v>78</v>
      </c>
      <c r="G23" s="3" t="s">
        <v>49</v>
      </c>
      <c r="H23" s="1" t="s">
        <v>88</v>
      </c>
      <c r="I23" s="3" t="s">
        <v>80</v>
      </c>
      <c r="J23" s="3" t="s">
        <v>85</v>
      </c>
      <c r="K23" s="3">
        <v>1</v>
      </c>
      <c r="L23" s="9" t="str">
        <f t="shared" si="0"/>
        <v>ENI LESTARI</v>
      </c>
      <c r="M23" s="32" t="s">
        <v>405</v>
      </c>
      <c r="N23" s="32"/>
      <c r="O23" s="32">
        <v>0</v>
      </c>
      <c r="P23" s="17" t="s">
        <v>363</v>
      </c>
      <c r="Q23" s="14" t="s">
        <v>365</v>
      </c>
      <c r="R23" s="15" t="s">
        <v>358</v>
      </c>
      <c r="S23" s="12">
        <v>0</v>
      </c>
    </row>
    <row r="24" spans="1:19" x14ac:dyDescent="0.35">
      <c r="A24" s="21" t="s">
        <v>260</v>
      </c>
      <c r="B24" s="1" t="s">
        <v>104</v>
      </c>
      <c r="C24" s="2">
        <v>25186</v>
      </c>
      <c r="D24" s="2">
        <v>41757</v>
      </c>
      <c r="E24" s="3" t="s">
        <v>105</v>
      </c>
      <c r="F24" s="3" t="s">
        <v>78</v>
      </c>
      <c r="G24" s="3" t="s">
        <v>14</v>
      </c>
      <c r="H24" s="1" t="s">
        <v>88</v>
      </c>
      <c r="I24" s="3" t="s">
        <v>80</v>
      </c>
      <c r="J24" s="3" t="s">
        <v>85</v>
      </c>
      <c r="K24" s="3">
        <v>1</v>
      </c>
      <c r="L24" s="9" t="str">
        <f t="shared" si="0"/>
        <v>SRI MULYANI DHIAN SEKARTAJ</v>
      </c>
      <c r="M24" s="33" t="s">
        <v>419</v>
      </c>
      <c r="N24" s="32"/>
      <c r="O24" s="32">
        <v>0</v>
      </c>
      <c r="P24" s="17" t="s">
        <v>358</v>
      </c>
      <c r="Q24" s="14">
        <v>0</v>
      </c>
      <c r="R24" s="15" t="s">
        <v>366</v>
      </c>
      <c r="S24" s="15" t="s">
        <v>356</v>
      </c>
    </row>
    <row r="25" spans="1:19" x14ac:dyDescent="0.35">
      <c r="A25" s="21" t="s">
        <v>261</v>
      </c>
      <c r="B25" s="1" t="s">
        <v>107</v>
      </c>
      <c r="C25" s="2">
        <v>31221</v>
      </c>
      <c r="D25" s="2">
        <v>42299</v>
      </c>
      <c r="E25" s="3" t="s">
        <v>69</v>
      </c>
      <c r="F25" s="3" t="s">
        <v>78</v>
      </c>
      <c r="G25" s="3" t="s">
        <v>49</v>
      </c>
      <c r="H25" s="1" t="s">
        <v>88</v>
      </c>
      <c r="I25" s="3" t="s">
        <v>80</v>
      </c>
      <c r="J25" s="3" t="s">
        <v>85</v>
      </c>
      <c r="K25" s="3">
        <v>1</v>
      </c>
      <c r="L25" s="9" t="str">
        <f t="shared" si="0"/>
        <v>WAHYU RIZKI UMBARA</v>
      </c>
      <c r="M25" s="33" t="s">
        <v>406</v>
      </c>
      <c r="N25" s="32"/>
      <c r="O25" s="32">
        <v>0</v>
      </c>
      <c r="P25" s="17" t="s">
        <v>363</v>
      </c>
      <c r="Q25" s="14" t="s">
        <v>365</v>
      </c>
      <c r="R25" s="15" t="s">
        <v>358</v>
      </c>
      <c r="S25" s="12">
        <v>0</v>
      </c>
    </row>
    <row r="26" spans="1:19" x14ac:dyDescent="0.35">
      <c r="A26" s="21" t="s">
        <v>262</v>
      </c>
      <c r="B26" s="1" t="s">
        <v>108</v>
      </c>
      <c r="C26" s="2">
        <v>33868</v>
      </c>
      <c r="D26" s="2">
        <v>43297</v>
      </c>
      <c r="E26" s="3" t="s">
        <v>25</v>
      </c>
      <c r="F26" s="3" t="s">
        <v>78</v>
      </c>
      <c r="G26" s="3" t="s">
        <v>49</v>
      </c>
      <c r="H26" s="1" t="s">
        <v>88</v>
      </c>
      <c r="I26" s="3" t="s">
        <v>80</v>
      </c>
      <c r="J26" s="3" t="s">
        <v>85</v>
      </c>
      <c r="K26" s="3">
        <v>1</v>
      </c>
      <c r="L26" s="9" t="str">
        <f t="shared" si="0"/>
        <v>ADE SAGITA INDAH</v>
      </c>
      <c r="M26" s="33" t="s">
        <v>407</v>
      </c>
      <c r="N26" s="32"/>
      <c r="O26" s="32">
        <v>0</v>
      </c>
      <c r="P26" s="17" t="s">
        <v>363</v>
      </c>
      <c r="Q26" s="14" t="s">
        <v>365</v>
      </c>
      <c r="R26" s="15" t="s">
        <v>358</v>
      </c>
      <c r="S26" s="12">
        <v>0</v>
      </c>
    </row>
    <row r="27" spans="1:19" x14ac:dyDescent="0.35">
      <c r="A27" s="21" t="s">
        <v>263</v>
      </c>
      <c r="B27" s="1" t="s">
        <v>109</v>
      </c>
      <c r="C27" s="2">
        <v>31330</v>
      </c>
      <c r="D27" s="2">
        <v>43297</v>
      </c>
      <c r="E27" s="3" t="s">
        <v>41</v>
      </c>
      <c r="F27" s="3" t="s">
        <v>78</v>
      </c>
      <c r="G27" s="3" t="s">
        <v>52</v>
      </c>
      <c r="H27" s="1" t="s">
        <v>88</v>
      </c>
      <c r="I27" s="3" t="s">
        <v>80</v>
      </c>
      <c r="J27" s="3" t="s">
        <v>85</v>
      </c>
      <c r="K27" s="3">
        <v>1</v>
      </c>
      <c r="L27" s="9" t="str">
        <f t="shared" si="0"/>
        <v>DANANG WIDIYATMOKO</v>
      </c>
      <c r="M27" s="32"/>
      <c r="N27" s="32"/>
      <c r="O27" s="32">
        <v>0</v>
      </c>
      <c r="P27" s="17" t="s">
        <v>363</v>
      </c>
      <c r="Q27" s="14" t="s">
        <v>365</v>
      </c>
      <c r="R27" s="15" t="s">
        <v>358</v>
      </c>
      <c r="S27" s="12">
        <v>0</v>
      </c>
    </row>
    <row r="28" spans="1:19" x14ac:dyDescent="0.35">
      <c r="A28" s="21" t="s">
        <v>264</v>
      </c>
      <c r="B28" s="1" t="s">
        <v>103</v>
      </c>
      <c r="C28" s="2">
        <v>31192</v>
      </c>
      <c r="D28" s="2">
        <v>43427</v>
      </c>
      <c r="E28" s="3" t="s">
        <v>41</v>
      </c>
      <c r="F28" s="3" t="s">
        <v>48</v>
      </c>
      <c r="G28" s="3" t="s">
        <v>52</v>
      </c>
      <c r="H28" s="1" t="s">
        <v>88</v>
      </c>
      <c r="I28" s="3" t="s">
        <v>54</v>
      </c>
      <c r="J28" s="3" t="s">
        <v>85</v>
      </c>
      <c r="K28" s="3">
        <v>1</v>
      </c>
      <c r="L28" s="9" t="str">
        <f t="shared" si="0"/>
        <v>HARTANTO</v>
      </c>
      <c r="M28" s="32"/>
      <c r="N28" s="32"/>
      <c r="O28" s="32">
        <v>0</v>
      </c>
      <c r="P28" s="17" t="s">
        <v>364</v>
      </c>
      <c r="Q28" s="12">
        <v>0</v>
      </c>
      <c r="R28" s="15" t="s">
        <v>370</v>
      </c>
      <c r="S28" s="12">
        <v>0</v>
      </c>
    </row>
    <row r="29" spans="1:19" x14ac:dyDescent="0.35">
      <c r="A29" s="21" t="s">
        <v>265</v>
      </c>
      <c r="B29" s="1" t="s">
        <v>106</v>
      </c>
      <c r="C29" s="2">
        <v>28776</v>
      </c>
      <c r="D29" s="2">
        <v>41957</v>
      </c>
      <c r="E29" s="3" t="s">
        <v>41</v>
      </c>
      <c r="F29" s="3" t="s">
        <v>48</v>
      </c>
      <c r="G29" s="3" t="s">
        <v>52</v>
      </c>
      <c r="H29" s="1" t="s">
        <v>88</v>
      </c>
      <c r="I29" s="3" t="s">
        <v>54</v>
      </c>
      <c r="J29" s="3" t="s">
        <v>85</v>
      </c>
      <c r="K29" s="3">
        <v>1</v>
      </c>
      <c r="L29" s="9" t="str">
        <f t="shared" si="0"/>
        <v>WALUYO</v>
      </c>
      <c r="M29" s="32"/>
      <c r="N29" s="32"/>
      <c r="O29" s="32">
        <v>0</v>
      </c>
      <c r="P29" s="17" t="s">
        <v>364</v>
      </c>
      <c r="Q29" s="12">
        <v>0</v>
      </c>
      <c r="R29" s="15" t="s">
        <v>370</v>
      </c>
      <c r="S29" s="12">
        <v>0</v>
      </c>
    </row>
    <row r="30" spans="1:19" x14ac:dyDescent="0.35">
      <c r="A30" s="21" t="s">
        <v>266</v>
      </c>
      <c r="B30" s="1" t="s">
        <v>110</v>
      </c>
      <c r="C30" s="2">
        <v>36339</v>
      </c>
      <c r="D30" s="2">
        <v>44893</v>
      </c>
      <c r="E30" s="3" t="s">
        <v>111</v>
      </c>
      <c r="F30" s="3" t="s">
        <v>78</v>
      </c>
      <c r="G30" s="3" t="s">
        <v>49</v>
      </c>
      <c r="H30" s="1" t="s">
        <v>88</v>
      </c>
      <c r="I30" s="3" t="s">
        <v>54</v>
      </c>
      <c r="J30" s="3" t="s">
        <v>85</v>
      </c>
      <c r="K30" s="3">
        <v>1</v>
      </c>
      <c r="L30" s="9" t="str">
        <f t="shared" si="0"/>
        <v>CITRA DHYANTI PUTRI DARMAW</v>
      </c>
      <c r="M30" s="32" t="s">
        <v>422</v>
      </c>
      <c r="N30" s="32"/>
      <c r="O30" s="32">
        <v>0</v>
      </c>
      <c r="P30" s="17" t="s">
        <v>363</v>
      </c>
      <c r="Q30" s="14" t="s">
        <v>365</v>
      </c>
      <c r="R30" s="15" t="s">
        <v>358</v>
      </c>
      <c r="S30" s="12">
        <v>0</v>
      </c>
    </row>
    <row r="31" spans="1:19" x14ac:dyDescent="0.35">
      <c r="A31" s="21" t="s">
        <v>267</v>
      </c>
      <c r="B31" s="1" t="s">
        <v>50</v>
      </c>
      <c r="C31" s="2">
        <v>27948</v>
      </c>
      <c r="D31" s="2">
        <v>39991</v>
      </c>
      <c r="E31" s="3" t="s">
        <v>41</v>
      </c>
      <c r="F31" s="3" t="s">
        <v>48</v>
      </c>
      <c r="G31" s="3" t="s">
        <v>52</v>
      </c>
      <c r="H31" s="1" t="s">
        <v>53</v>
      </c>
      <c r="I31" s="3" t="s">
        <v>54</v>
      </c>
      <c r="J31" s="3" t="s">
        <v>55</v>
      </c>
      <c r="K31" s="3">
        <v>1</v>
      </c>
      <c r="L31" s="9" t="str">
        <f t="shared" si="0"/>
        <v>DIDI SUMITO</v>
      </c>
      <c r="M31" s="32"/>
      <c r="N31" s="32"/>
      <c r="O31" s="32">
        <v>0</v>
      </c>
      <c r="P31" s="17" t="s">
        <v>364</v>
      </c>
      <c r="Q31" s="12">
        <v>0</v>
      </c>
      <c r="R31" s="15" t="s">
        <v>370</v>
      </c>
      <c r="S31" s="12">
        <v>0</v>
      </c>
    </row>
    <row r="32" spans="1:19" x14ac:dyDescent="0.35">
      <c r="A32" s="21" t="s">
        <v>268</v>
      </c>
      <c r="B32" s="1" t="s">
        <v>56</v>
      </c>
      <c r="C32" s="2">
        <v>33258</v>
      </c>
      <c r="D32" s="2">
        <v>43257</v>
      </c>
      <c r="E32" s="3" t="s">
        <v>57</v>
      </c>
      <c r="F32" s="3" t="s">
        <v>51</v>
      </c>
      <c r="G32" s="3" t="s">
        <v>49</v>
      </c>
      <c r="H32" s="1" t="s">
        <v>53</v>
      </c>
      <c r="I32" s="3" t="s">
        <v>54</v>
      </c>
      <c r="J32" s="3" t="s">
        <v>55</v>
      </c>
      <c r="K32" s="3">
        <v>1</v>
      </c>
      <c r="L32" s="9" t="str">
        <f t="shared" si="0"/>
        <v>DEVITA INDA DZIL ARSY</v>
      </c>
      <c r="M32" s="33" t="s">
        <v>408</v>
      </c>
      <c r="N32" s="32"/>
      <c r="O32" s="32">
        <v>0</v>
      </c>
      <c r="P32" s="17" t="s">
        <v>380</v>
      </c>
      <c r="Q32" s="12">
        <v>0</v>
      </c>
      <c r="R32" s="15" t="s">
        <v>371</v>
      </c>
      <c r="S32" s="12">
        <v>0</v>
      </c>
    </row>
    <row r="33" spans="1:19" x14ac:dyDescent="0.35">
      <c r="A33" s="21" t="s">
        <v>269</v>
      </c>
      <c r="B33" s="1" t="s">
        <v>58</v>
      </c>
      <c r="C33" s="2">
        <v>37095</v>
      </c>
      <c r="D33" s="2">
        <v>44963</v>
      </c>
      <c r="E33" s="3" t="s">
        <v>25</v>
      </c>
      <c r="F33" s="3" t="s">
        <v>51</v>
      </c>
      <c r="G33" s="3" t="s">
        <v>49</v>
      </c>
      <c r="H33" s="1" t="s">
        <v>53</v>
      </c>
      <c r="I33" s="3" t="s">
        <v>54</v>
      </c>
      <c r="J33" s="3" t="s">
        <v>55</v>
      </c>
      <c r="K33" s="3">
        <v>1</v>
      </c>
      <c r="L33" s="9" t="str">
        <f t="shared" si="0"/>
        <v>ANISSA NATA HARTONO</v>
      </c>
      <c r="M33" s="33" t="s">
        <v>420</v>
      </c>
      <c r="N33" s="32"/>
      <c r="O33" s="32">
        <v>0</v>
      </c>
      <c r="P33" s="17" t="s">
        <v>380</v>
      </c>
      <c r="Q33" s="12">
        <v>0</v>
      </c>
      <c r="R33" s="15" t="s">
        <v>371</v>
      </c>
      <c r="S33" s="12">
        <v>0</v>
      </c>
    </row>
    <row r="34" spans="1:19" x14ac:dyDescent="0.35">
      <c r="A34" s="21" t="s">
        <v>270</v>
      </c>
      <c r="B34" s="1" t="s">
        <v>59</v>
      </c>
      <c r="C34" s="2">
        <v>32935</v>
      </c>
      <c r="D34" s="2">
        <v>43544</v>
      </c>
      <c r="E34" s="3" t="s">
        <v>60</v>
      </c>
      <c r="F34" s="3" t="s">
        <v>51</v>
      </c>
      <c r="G34" s="3" t="s">
        <v>14</v>
      </c>
      <c r="H34" s="1" t="s">
        <v>53</v>
      </c>
      <c r="I34" s="3" t="s">
        <v>54</v>
      </c>
      <c r="J34" s="3" t="s">
        <v>55</v>
      </c>
      <c r="K34" s="3">
        <v>1</v>
      </c>
      <c r="L34" s="9" t="str">
        <f t="shared" si="0"/>
        <v>BOYKE DONALD ALFIAN SIREGA</v>
      </c>
      <c r="M34" s="34" t="s">
        <v>423</v>
      </c>
      <c r="O34" s="32">
        <v>0</v>
      </c>
      <c r="P34" s="15" t="s">
        <v>371</v>
      </c>
      <c r="Q34" s="12">
        <v>0</v>
      </c>
      <c r="R34" s="15" t="s">
        <v>372</v>
      </c>
      <c r="S34" s="15" t="s">
        <v>356</v>
      </c>
    </row>
    <row r="35" spans="1:19" x14ac:dyDescent="0.35">
      <c r="A35" s="21" t="s">
        <v>271</v>
      </c>
      <c r="B35" s="1" t="s">
        <v>61</v>
      </c>
      <c r="C35" s="2">
        <v>29915</v>
      </c>
      <c r="D35" s="2">
        <v>41059</v>
      </c>
      <c r="E35" s="3" t="s">
        <v>62</v>
      </c>
      <c r="F35" s="3" t="s">
        <v>51</v>
      </c>
      <c r="G35" s="3" t="s">
        <v>49</v>
      </c>
      <c r="H35" s="1" t="s">
        <v>53</v>
      </c>
      <c r="I35" s="3" t="s">
        <v>54</v>
      </c>
      <c r="J35" s="3" t="s">
        <v>55</v>
      </c>
      <c r="K35" s="3">
        <v>1</v>
      </c>
      <c r="L35" s="9" t="str">
        <f t="shared" si="0"/>
        <v>NONY MALATINA</v>
      </c>
      <c r="M35" s="33" t="s">
        <v>424</v>
      </c>
      <c r="N35" s="32"/>
      <c r="O35" s="32">
        <v>0</v>
      </c>
      <c r="P35" s="17" t="s">
        <v>380</v>
      </c>
      <c r="Q35" s="12">
        <v>0</v>
      </c>
      <c r="R35" s="15" t="s">
        <v>371</v>
      </c>
      <c r="S35" s="12">
        <v>0</v>
      </c>
    </row>
    <row r="36" spans="1:19" x14ac:dyDescent="0.35">
      <c r="A36" s="21" t="s">
        <v>272</v>
      </c>
      <c r="B36" s="1" t="s">
        <v>63</v>
      </c>
      <c r="C36" s="2">
        <v>34089</v>
      </c>
      <c r="D36" s="2">
        <v>41624</v>
      </c>
      <c r="E36" s="3" t="s">
        <v>62</v>
      </c>
      <c r="F36" s="3" t="s">
        <v>51</v>
      </c>
      <c r="G36" s="3" t="s">
        <v>49</v>
      </c>
      <c r="H36" s="1" t="s">
        <v>53</v>
      </c>
      <c r="I36" s="3" t="s">
        <v>54</v>
      </c>
      <c r="J36" s="3" t="s">
        <v>55</v>
      </c>
      <c r="K36" s="3">
        <v>1</v>
      </c>
      <c r="L36" s="9" t="str">
        <f t="shared" si="0"/>
        <v>FILDZAH FATHANIAH</v>
      </c>
      <c r="M36" s="33" t="s">
        <v>425</v>
      </c>
      <c r="N36" s="32"/>
      <c r="O36" s="32">
        <v>0</v>
      </c>
      <c r="P36" s="17" t="s">
        <v>380</v>
      </c>
      <c r="Q36" s="12">
        <v>0</v>
      </c>
      <c r="R36" s="15" t="s">
        <v>371</v>
      </c>
      <c r="S36" s="12">
        <v>0</v>
      </c>
    </row>
    <row r="37" spans="1:19" x14ac:dyDescent="0.35">
      <c r="A37" s="21" t="s">
        <v>273</v>
      </c>
      <c r="B37" s="1" t="s">
        <v>64</v>
      </c>
      <c r="C37" s="2">
        <v>26483</v>
      </c>
      <c r="D37" s="2">
        <v>41540</v>
      </c>
      <c r="E37" s="3" t="s">
        <v>25</v>
      </c>
      <c r="F37" s="3" t="s">
        <v>51</v>
      </c>
      <c r="G37" s="3" t="s">
        <v>49</v>
      </c>
      <c r="H37" s="1" t="s">
        <v>53</v>
      </c>
      <c r="I37" s="3" t="s">
        <v>54</v>
      </c>
      <c r="J37" s="3" t="s">
        <v>55</v>
      </c>
      <c r="K37" s="3">
        <v>1</v>
      </c>
      <c r="L37" s="9" t="str">
        <f t="shared" si="0"/>
        <v>YULIANI SRI REDJEKI</v>
      </c>
      <c r="M37" s="33" t="s">
        <v>426</v>
      </c>
      <c r="N37" s="32"/>
      <c r="O37" s="32">
        <v>0</v>
      </c>
      <c r="P37" s="17" t="s">
        <v>380</v>
      </c>
      <c r="Q37" s="12">
        <v>0</v>
      </c>
      <c r="R37" s="15" t="s">
        <v>371</v>
      </c>
      <c r="S37" s="12">
        <v>0</v>
      </c>
    </row>
    <row r="38" spans="1:19" x14ac:dyDescent="0.35">
      <c r="A38" s="21" t="s">
        <v>274</v>
      </c>
      <c r="B38" s="1" t="s">
        <v>65</v>
      </c>
      <c r="C38" s="2">
        <v>28231</v>
      </c>
      <c r="D38" s="2">
        <v>41568</v>
      </c>
      <c r="E38" s="3" t="s">
        <v>66</v>
      </c>
      <c r="F38" s="3" t="s">
        <v>51</v>
      </c>
      <c r="G38" s="3" t="s">
        <v>49</v>
      </c>
      <c r="H38" s="1" t="s">
        <v>53</v>
      </c>
      <c r="I38" s="3" t="s">
        <v>54</v>
      </c>
      <c r="J38" s="3" t="s">
        <v>55</v>
      </c>
      <c r="K38" s="3">
        <v>1</v>
      </c>
      <c r="L38" s="9" t="str">
        <f t="shared" si="0"/>
        <v>LYLYANA MAZWAR</v>
      </c>
      <c r="M38" s="33" t="s">
        <v>421</v>
      </c>
      <c r="N38" s="32"/>
      <c r="O38" s="32">
        <v>0</v>
      </c>
      <c r="P38" s="17" t="s">
        <v>380</v>
      </c>
      <c r="Q38" s="12">
        <v>0</v>
      </c>
      <c r="R38" s="15" t="s">
        <v>371</v>
      </c>
      <c r="S38" s="12">
        <v>0</v>
      </c>
    </row>
    <row r="39" spans="1:19" x14ac:dyDescent="0.35">
      <c r="A39" s="21" t="s">
        <v>275</v>
      </c>
      <c r="B39" s="1" t="s">
        <v>68</v>
      </c>
      <c r="C39" s="2">
        <v>33061</v>
      </c>
      <c r="D39" s="2">
        <v>41796</v>
      </c>
      <c r="E39" s="3" t="s">
        <v>69</v>
      </c>
      <c r="F39" s="3" t="s">
        <v>51</v>
      </c>
      <c r="G39" s="3" t="s">
        <v>49</v>
      </c>
      <c r="H39" s="1" t="s">
        <v>53</v>
      </c>
      <c r="I39" s="3" t="s">
        <v>54</v>
      </c>
      <c r="J39" s="3" t="s">
        <v>55</v>
      </c>
      <c r="K39" s="3">
        <v>1</v>
      </c>
      <c r="L39" s="9" t="str">
        <f t="shared" si="0"/>
        <v>RIKA PAAYS</v>
      </c>
      <c r="M39" s="33" t="s">
        <v>427</v>
      </c>
      <c r="N39" s="32"/>
      <c r="O39" s="32">
        <v>0</v>
      </c>
      <c r="P39" s="17" t="s">
        <v>380</v>
      </c>
      <c r="Q39" s="12">
        <v>0</v>
      </c>
      <c r="R39" s="15" t="s">
        <v>371</v>
      </c>
      <c r="S39" s="12">
        <v>0</v>
      </c>
    </row>
    <row r="40" spans="1:19" x14ac:dyDescent="0.35">
      <c r="A40" s="21" t="s">
        <v>276</v>
      </c>
      <c r="B40" s="1" t="s">
        <v>134</v>
      </c>
      <c r="C40" s="2">
        <v>29139</v>
      </c>
      <c r="D40" s="2">
        <v>44757</v>
      </c>
      <c r="E40" s="3" t="s">
        <v>135</v>
      </c>
      <c r="F40" s="3" t="s">
        <v>51</v>
      </c>
      <c r="G40" s="3" t="s">
        <v>49</v>
      </c>
      <c r="H40" s="1" t="s">
        <v>113</v>
      </c>
      <c r="I40" s="3" t="s">
        <v>54</v>
      </c>
      <c r="J40" s="3" t="s">
        <v>114</v>
      </c>
      <c r="K40" s="3">
        <v>1</v>
      </c>
      <c r="L40" s="9" t="str">
        <f t="shared" si="0"/>
        <v>SULISTIYANTO</v>
      </c>
      <c r="M40" s="33" t="s">
        <v>428</v>
      </c>
      <c r="N40" s="32"/>
      <c r="O40" s="32">
        <v>0</v>
      </c>
      <c r="P40" s="17" t="s">
        <v>381</v>
      </c>
      <c r="Q40" s="12">
        <v>0</v>
      </c>
      <c r="R40" s="15" t="s">
        <v>371</v>
      </c>
      <c r="S40" s="12">
        <v>0</v>
      </c>
    </row>
    <row r="41" spans="1:19" x14ac:dyDescent="0.35">
      <c r="A41" s="21" t="s">
        <v>277</v>
      </c>
      <c r="B41" s="1" t="s">
        <v>166</v>
      </c>
      <c r="C41" s="2">
        <v>32638</v>
      </c>
      <c r="D41" s="2">
        <v>43348</v>
      </c>
      <c r="E41" s="3" t="s">
        <v>135</v>
      </c>
      <c r="F41" s="3" t="s">
        <v>51</v>
      </c>
      <c r="G41" s="3" t="s">
        <v>49</v>
      </c>
      <c r="H41" s="1" t="s">
        <v>167</v>
      </c>
      <c r="I41" s="3" t="s">
        <v>54</v>
      </c>
      <c r="J41" s="3" t="s">
        <v>168</v>
      </c>
      <c r="K41" s="3">
        <v>1</v>
      </c>
      <c r="L41" s="9" t="str">
        <f t="shared" si="0"/>
        <v>SANTO</v>
      </c>
      <c r="M41" s="33" t="s">
        <v>429</v>
      </c>
      <c r="N41" s="32"/>
      <c r="O41" s="32">
        <v>0</v>
      </c>
      <c r="P41" s="17" t="s">
        <v>381</v>
      </c>
      <c r="Q41" s="12">
        <v>0</v>
      </c>
      <c r="R41" s="15" t="s">
        <v>371</v>
      </c>
      <c r="S41" s="12">
        <v>0</v>
      </c>
    </row>
    <row r="42" spans="1:19" x14ac:dyDescent="0.35">
      <c r="A42" s="21" t="s">
        <v>278</v>
      </c>
      <c r="B42" s="1" t="s">
        <v>171</v>
      </c>
      <c r="C42" s="2">
        <v>34756</v>
      </c>
      <c r="D42" s="2">
        <v>43131</v>
      </c>
      <c r="E42" s="3" t="s">
        <v>135</v>
      </c>
      <c r="F42" s="3" t="s">
        <v>51</v>
      </c>
      <c r="G42" s="3" t="s">
        <v>49</v>
      </c>
      <c r="H42" s="1" t="s">
        <v>167</v>
      </c>
      <c r="I42" s="3" t="s">
        <v>54</v>
      </c>
      <c r="J42" s="3" t="s">
        <v>168</v>
      </c>
      <c r="K42" s="3">
        <v>1</v>
      </c>
      <c r="L42" s="9" t="str">
        <f t="shared" si="0"/>
        <v>ALFONS BENRI SIHITE</v>
      </c>
      <c r="M42" s="33" t="s">
        <v>430</v>
      </c>
      <c r="N42" s="32"/>
      <c r="O42" s="32">
        <v>0</v>
      </c>
      <c r="P42" s="17" t="s">
        <v>381</v>
      </c>
      <c r="Q42" s="12">
        <v>0</v>
      </c>
      <c r="R42" s="15" t="s">
        <v>371</v>
      </c>
      <c r="S42" s="12">
        <v>0</v>
      </c>
    </row>
    <row r="43" spans="1:19" x14ac:dyDescent="0.35">
      <c r="A43" s="21" t="s">
        <v>279</v>
      </c>
      <c r="B43" s="1" t="s">
        <v>176</v>
      </c>
      <c r="C43" s="2">
        <v>26138</v>
      </c>
      <c r="D43" s="2">
        <v>43157</v>
      </c>
      <c r="E43" s="3" t="s">
        <v>177</v>
      </c>
      <c r="F43" s="3" t="s">
        <v>51</v>
      </c>
      <c r="G43" s="3" t="s">
        <v>47</v>
      </c>
      <c r="H43" s="1" t="s">
        <v>167</v>
      </c>
      <c r="I43" s="3" t="s">
        <v>54</v>
      </c>
      <c r="J43" s="3" t="s">
        <v>168</v>
      </c>
      <c r="K43" s="3">
        <v>1</v>
      </c>
      <c r="L43" s="9" t="str">
        <f t="shared" si="0"/>
        <v>EKA SUSANTI</v>
      </c>
      <c r="M43" s="34" t="s">
        <v>431</v>
      </c>
      <c r="O43" s="32">
        <v>0</v>
      </c>
      <c r="P43" s="15" t="s">
        <v>372</v>
      </c>
      <c r="Q43" s="14" t="s">
        <v>356</v>
      </c>
      <c r="R43" s="15" t="s">
        <v>356</v>
      </c>
      <c r="S43" s="17" t="s">
        <v>355</v>
      </c>
    </row>
    <row r="44" spans="1:19" x14ac:dyDescent="0.35">
      <c r="A44" s="21" t="s">
        <v>280</v>
      </c>
      <c r="B44" s="1" t="s">
        <v>180</v>
      </c>
      <c r="C44" s="2">
        <v>33402</v>
      </c>
      <c r="D44" s="2">
        <v>41631</v>
      </c>
      <c r="E44" s="3" t="s">
        <v>181</v>
      </c>
      <c r="F44" s="3" t="s">
        <v>51</v>
      </c>
      <c r="G44" s="3" t="s">
        <v>14</v>
      </c>
      <c r="H44" s="1" t="s">
        <v>167</v>
      </c>
      <c r="I44" s="3" t="s">
        <v>54</v>
      </c>
      <c r="J44" s="3" t="s">
        <v>168</v>
      </c>
      <c r="K44" s="3">
        <v>1</v>
      </c>
      <c r="L44" s="9" t="str">
        <f t="shared" si="0"/>
        <v>LIANA DAMAYANTI</v>
      </c>
      <c r="M44" s="34" t="s">
        <v>432</v>
      </c>
      <c r="O44" s="32">
        <v>0</v>
      </c>
      <c r="P44" s="15" t="s">
        <v>371</v>
      </c>
      <c r="Q44" s="12">
        <v>0</v>
      </c>
      <c r="R44" s="15" t="s">
        <v>372</v>
      </c>
      <c r="S44" s="15" t="s">
        <v>356</v>
      </c>
    </row>
    <row r="45" spans="1:19" x14ac:dyDescent="0.35">
      <c r="A45" s="21" t="s">
        <v>281</v>
      </c>
      <c r="B45" s="1" t="s">
        <v>115</v>
      </c>
      <c r="C45" s="2">
        <v>26056</v>
      </c>
      <c r="D45" s="2">
        <v>37895</v>
      </c>
      <c r="E45" s="3" t="s">
        <v>116</v>
      </c>
      <c r="F45" s="3" t="s">
        <v>117</v>
      </c>
      <c r="G45" s="3" t="s">
        <v>73</v>
      </c>
      <c r="H45" s="1" t="s">
        <v>113</v>
      </c>
      <c r="I45" s="3" t="s">
        <v>54</v>
      </c>
      <c r="J45" s="3" t="s">
        <v>114</v>
      </c>
      <c r="K45" s="3">
        <v>1</v>
      </c>
      <c r="L45" s="9" t="str">
        <f t="shared" si="0"/>
        <v>MAIDALENI</v>
      </c>
      <c r="M45" s="34" t="s">
        <v>433</v>
      </c>
      <c r="N45" s="34" t="s">
        <v>434</v>
      </c>
      <c r="O45" s="32">
        <v>0</v>
      </c>
      <c r="P45" s="15" t="s">
        <v>368</v>
      </c>
      <c r="Q45" s="12" t="s">
        <v>356</v>
      </c>
      <c r="R45" s="15" t="s">
        <v>356</v>
      </c>
      <c r="S45" s="17" t="s">
        <v>355</v>
      </c>
    </row>
    <row r="46" spans="1:19" x14ac:dyDescent="0.35">
      <c r="A46" s="21" t="s">
        <v>282</v>
      </c>
      <c r="B46" s="1" t="s">
        <v>127</v>
      </c>
      <c r="C46" s="2">
        <v>34516</v>
      </c>
      <c r="D46" s="2">
        <v>41738</v>
      </c>
      <c r="E46" s="3" t="s">
        <v>69</v>
      </c>
      <c r="F46" s="3" t="s">
        <v>117</v>
      </c>
      <c r="G46" s="3" t="s">
        <v>49</v>
      </c>
      <c r="H46" s="1" t="s">
        <v>113</v>
      </c>
      <c r="I46" s="3" t="s">
        <v>54</v>
      </c>
      <c r="J46" s="3" t="s">
        <v>114</v>
      </c>
      <c r="K46" s="3">
        <v>1</v>
      </c>
      <c r="L46" s="9" t="str">
        <f t="shared" si="0"/>
        <v>RIKA MANTISA SARI</v>
      </c>
      <c r="M46" s="33" t="s">
        <v>435</v>
      </c>
      <c r="N46" s="32"/>
      <c r="O46" s="32">
        <v>0</v>
      </c>
      <c r="P46" s="17" t="s">
        <v>382</v>
      </c>
      <c r="Q46" s="12">
        <v>0</v>
      </c>
      <c r="R46" s="15" t="s">
        <v>374</v>
      </c>
      <c r="S46" s="12">
        <v>0</v>
      </c>
    </row>
    <row r="47" spans="1:19" x14ac:dyDescent="0.35">
      <c r="A47" s="21" t="s">
        <v>283</v>
      </c>
      <c r="B47" s="1" t="s">
        <v>128</v>
      </c>
      <c r="C47" s="2">
        <v>35285</v>
      </c>
      <c r="D47" s="2">
        <v>43514</v>
      </c>
      <c r="E47" s="3" t="s">
        <v>69</v>
      </c>
      <c r="F47" s="3" t="s">
        <v>117</v>
      </c>
      <c r="G47" s="3" t="s">
        <v>49</v>
      </c>
      <c r="H47" s="1" t="s">
        <v>113</v>
      </c>
      <c r="I47" s="3" t="s">
        <v>54</v>
      </c>
      <c r="J47" s="3" t="s">
        <v>114</v>
      </c>
      <c r="K47" s="3">
        <v>1</v>
      </c>
      <c r="L47" s="9" t="str">
        <f t="shared" si="0"/>
        <v>SITI KHOLILAH</v>
      </c>
      <c r="M47" s="33" t="s">
        <v>438</v>
      </c>
      <c r="N47" s="32"/>
      <c r="O47" s="32">
        <v>0</v>
      </c>
      <c r="P47" s="17" t="s">
        <v>382</v>
      </c>
      <c r="Q47" s="12">
        <v>0</v>
      </c>
      <c r="R47" s="15" t="s">
        <v>374</v>
      </c>
      <c r="S47" s="12">
        <v>0</v>
      </c>
    </row>
    <row r="48" spans="1:19" x14ac:dyDescent="0.35">
      <c r="A48" s="21" t="s">
        <v>284</v>
      </c>
      <c r="B48" s="1" t="s">
        <v>132</v>
      </c>
      <c r="C48" s="2">
        <v>33249</v>
      </c>
      <c r="D48" s="2">
        <v>44662</v>
      </c>
      <c r="E48" s="3" t="s">
        <v>133</v>
      </c>
      <c r="F48" s="3" t="s">
        <v>117</v>
      </c>
      <c r="G48" s="3" t="s">
        <v>14</v>
      </c>
      <c r="H48" s="1" t="s">
        <v>113</v>
      </c>
      <c r="I48" s="3" t="s">
        <v>54</v>
      </c>
      <c r="J48" s="3" t="s">
        <v>114</v>
      </c>
      <c r="K48" s="3">
        <v>1</v>
      </c>
      <c r="L48" s="9" t="str">
        <f t="shared" si="0"/>
        <v>RICHARD IVANDER</v>
      </c>
      <c r="O48" s="32">
        <v>0</v>
      </c>
      <c r="P48" s="15" t="s">
        <v>374</v>
      </c>
      <c r="Q48" s="12">
        <v>0</v>
      </c>
      <c r="R48" s="15" t="s">
        <v>368</v>
      </c>
      <c r="S48" s="15" t="s">
        <v>356</v>
      </c>
    </row>
    <row r="49" spans="1:19" x14ac:dyDescent="0.35">
      <c r="A49" s="21" t="s">
        <v>285</v>
      </c>
      <c r="B49" s="1" t="s">
        <v>141</v>
      </c>
      <c r="C49" s="2">
        <v>29382</v>
      </c>
      <c r="D49" s="2">
        <v>40863</v>
      </c>
      <c r="E49" s="3" t="s">
        <v>142</v>
      </c>
      <c r="F49" s="3" t="s">
        <v>117</v>
      </c>
      <c r="G49" s="3" t="s">
        <v>14</v>
      </c>
      <c r="H49" s="1" t="s">
        <v>113</v>
      </c>
      <c r="I49" s="3" t="s">
        <v>54</v>
      </c>
      <c r="J49" s="3" t="s">
        <v>114</v>
      </c>
      <c r="K49" s="3">
        <v>1</v>
      </c>
      <c r="L49" s="9" t="str">
        <f t="shared" si="0"/>
        <v>IRMA YUNIARTATI</v>
      </c>
      <c r="M49" s="34" t="s">
        <v>444</v>
      </c>
      <c r="O49" s="32">
        <v>0</v>
      </c>
      <c r="P49" s="15" t="s">
        <v>374</v>
      </c>
      <c r="Q49" s="12">
        <v>0</v>
      </c>
      <c r="R49" s="15" t="s">
        <v>368</v>
      </c>
      <c r="S49" s="15" t="s">
        <v>356</v>
      </c>
    </row>
    <row r="50" spans="1:19" x14ac:dyDescent="0.35">
      <c r="A50" s="21" t="s">
        <v>286</v>
      </c>
      <c r="B50" s="1" t="s">
        <v>146</v>
      </c>
      <c r="C50" s="2">
        <v>34159</v>
      </c>
      <c r="D50" s="2">
        <v>42901</v>
      </c>
      <c r="E50" s="3" t="s">
        <v>69</v>
      </c>
      <c r="F50" s="3" t="s">
        <v>117</v>
      </c>
      <c r="G50" s="3" t="s">
        <v>49</v>
      </c>
      <c r="H50" s="1" t="s">
        <v>113</v>
      </c>
      <c r="I50" s="3" t="s">
        <v>54</v>
      </c>
      <c r="J50" s="3" t="s">
        <v>114</v>
      </c>
      <c r="K50" s="3">
        <v>1</v>
      </c>
      <c r="L50" s="9" t="str">
        <f t="shared" si="0"/>
        <v>YULIANTI ANDINI</v>
      </c>
      <c r="M50" s="32" t="s">
        <v>439</v>
      </c>
      <c r="N50" s="32"/>
      <c r="O50" s="32">
        <v>0</v>
      </c>
      <c r="P50" s="17" t="s">
        <v>382</v>
      </c>
      <c r="Q50" s="12">
        <v>0</v>
      </c>
      <c r="R50" s="15" t="s">
        <v>374</v>
      </c>
      <c r="S50" s="12">
        <v>0</v>
      </c>
    </row>
    <row r="51" spans="1:19" x14ac:dyDescent="0.35">
      <c r="A51" s="21" t="s">
        <v>287</v>
      </c>
      <c r="B51" s="1" t="s">
        <v>147</v>
      </c>
      <c r="C51" s="2">
        <v>35779</v>
      </c>
      <c r="D51" s="2">
        <v>42982</v>
      </c>
      <c r="E51" s="3" t="s">
        <v>69</v>
      </c>
      <c r="F51" s="3" t="s">
        <v>117</v>
      </c>
      <c r="G51" s="3" t="s">
        <v>49</v>
      </c>
      <c r="H51" s="1" t="s">
        <v>113</v>
      </c>
      <c r="I51" s="3" t="s">
        <v>54</v>
      </c>
      <c r="J51" s="3" t="s">
        <v>114</v>
      </c>
      <c r="K51" s="3">
        <v>1</v>
      </c>
      <c r="L51" s="9" t="str">
        <f t="shared" si="0"/>
        <v>RIA ADELIA</v>
      </c>
      <c r="M51" s="33" t="s">
        <v>440</v>
      </c>
      <c r="N51" s="32"/>
      <c r="O51" s="32">
        <v>0</v>
      </c>
      <c r="P51" s="17" t="s">
        <v>382</v>
      </c>
      <c r="Q51" s="12">
        <v>0</v>
      </c>
      <c r="R51" s="15" t="s">
        <v>374</v>
      </c>
      <c r="S51" s="12">
        <v>0</v>
      </c>
    </row>
    <row r="52" spans="1:19" x14ac:dyDescent="0.35">
      <c r="A52" s="21" t="s">
        <v>288</v>
      </c>
      <c r="B52" s="1" t="s">
        <v>149</v>
      </c>
      <c r="C52" s="2">
        <v>26353</v>
      </c>
      <c r="D52" s="2">
        <v>41710</v>
      </c>
      <c r="E52" s="3" t="s">
        <v>69</v>
      </c>
      <c r="F52" s="3" t="s">
        <v>117</v>
      </c>
      <c r="G52" s="3" t="s">
        <v>49</v>
      </c>
      <c r="H52" s="1" t="s">
        <v>113</v>
      </c>
      <c r="I52" s="3" t="s">
        <v>54</v>
      </c>
      <c r="J52" s="3" t="s">
        <v>114</v>
      </c>
      <c r="K52" s="3">
        <v>1</v>
      </c>
      <c r="L52" s="9" t="str">
        <f t="shared" si="0"/>
        <v>DIAH KANTI WILUJENG</v>
      </c>
      <c r="M52" s="33" t="s">
        <v>436</v>
      </c>
      <c r="N52" s="32"/>
      <c r="O52" s="32">
        <v>0</v>
      </c>
      <c r="P52" s="17" t="s">
        <v>382</v>
      </c>
      <c r="Q52" s="12">
        <v>0</v>
      </c>
      <c r="R52" s="15" t="s">
        <v>374</v>
      </c>
      <c r="S52" s="12">
        <v>0</v>
      </c>
    </row>
    <row r="53" spans="1:19" x14ac:dyDescent="0.35">
      <c r="A53" s="21" t="s">
        <v>289</v>
      </c>
      <c r="B53" s="1" t="s">
        <v>150</v>
      </c>
      <c r="C53" s="2">
        <v>35107</v>
      </c>
      <c r="D53" s="2">
        <v>43089</v>
      </c>
      <c r="E53" s="3" t="s">
        <v>69</v>
      </c>
      <c r="F53" s="3" t="s">
        <v>117</v>
      </c>
      <c r="G53" s="3" t="s">
        <v>49</v>
      </c>
      <c r="H53" s="1" t="s">
        <v>113</v>
      </c>
      <c r="I53" s="3" t="s">
        <v>54</v>
      </c>
      <c r="J53" s="3" t="s">
        <v>114</v>
      </c>
      <c r="K53" s="3">
        <v>1</v>
      </c>
      <c r="L53" s="9" t="str">
        <f t="shared" si="0"/>
        <v>NOVIA RACHMAWATI</v>
      </c>
      <c r="M53" s="33" t="s">
        <v>441</v>
      </c>
      <c r="N53" s="32"/>
      <c r="O53" s="32">
        <v>0</v>
      </c>
      <c r="P53" s="17" t="s">
        <v>382</v>
      </c>
      <c r="Q53" s="12">
        <v>0</v>
      </c>
      <c r="R53" s="15" t="s">
        <v>374</v>
      </c>
      <c r="S53" s="12">
        <v>0</v>
      </c>
    </row>
    <row r="54" spans="1:19" x14ac:dyDescent="0.35">
      <c r="A54" s="21" t="s">
        <v>290</v>
      </c>
      <c r="B54" s="1" t="s">
        <v>151</v>
      </c>
      <c r="C54" s="2">
        <v>32955</v>
      </c>
      <c r="D54" s="2">
        <v>43396</v>
      </c>
      <c r="E54" s="3" t="s">
        <v>69</v>
      </c>
      <c r="F54" s="3" t="s">
        <v>117</v>
      </c>
      <c r="G54" s="3" t="s">
        <v>49</v>
      </c>
      <c r="H54" s="1" t="s">
        <v>113</v>
      </c>
      <c r="I54" s="3" t="s">
        <v>54</v>
      </c>
      <c r="J54" s="3" t="s">
        <v>114</v>
      </c>
      <c r="K54" s="3">
        <v>1</v>
      </c>
      <c r="L54" s="9" t="str">
        <f t="shared" si="0"/>
        <v>THIARA KURNIAWATI SAPUTRI</v>
      </c>
      <c r="M54" s="33" t="s">
        <v>447</v>
      </c>
      <c r="N54" s="32"/>
      <c r="O54" s="32">
        <v>0</v>
      </c>
      <c r="P54" s="17" t="s">
        <v>382</v>
      </c>
      <c r="Q54" s="12">
        <v>0</v>
      </c>
      <c r="R54" s="15" t="s">
        <v>374</v>
      </c>
      <c r="S54" s="12">
        <v>0</v>
      </c>
    </row>
    <row r="55" spans="1:19" x14ac:dyDescent="0.35">
      <c r="A55" s="21" t="s">
        <v>291</v>
      </c>
      <c r="B55" s="1" t="s">
        <v>160</v>
      </c>
      <c r="C55" s="2">
        <v>34244</v>
      </c>
      <c r="D55" s="2">
        <v>41533</v>
      </c>
      <c r="E55" s="3" t="s">
        <v>69</v>
      </c>
      <c r="F55" s="3" t="s">
        <v>117</v>
      </c>
      <c r="G55" s="3" t="s">
        <v>49</v>
      </c>
      <c r="H55" s="1" t="s">
        <v>155</v>
      </c>
      <c r="I55" s="3" t="s">
        <v>54</v>
      </c>
      <c r="J55" s="3" t="s">
        <v>156</v>
      </c>
      <c r="K55" s="3">
        <v>1</v>
      </c>
      <c r="L55" s="9" t="str">
        <f t="shared" si="0"/>
        <v>OKTAVIA DWI PUTRININGTYAS</v>
      </c>
      <c r="M55" s="32" t="s">
        <v>437</v>
      </c>
      <c r="N55" s="32"/>
      <c r="O55" s="32">
        <v>0</v>
      </c>
      <c r="P55" s="17" t="s">
        <v>382</v>
      </c>
      <c r="Q55" s="12">
        <v>0</v>
      </c>
      <c r="R55" s="15" t="s">
        <v>374</v>
      </c>
      <c r="S55" s="12">
        <v>0</v>
      </c>
    </row>
    <row r="56" spans="1:19" x14ac:dyDescent="0.35">
      <c r="A56" s="21" t="s">
        <v>292</v>
      </c>
      <c r="B56" s="1" t="s">
        <v>233</v>
      </c>
      <c r="C56" s="2">
        <v>33889</v>
      </c>
      <c r="D56" s="2">
        <v>41764</v>
      </c>
      <c r="E56" s="3" t="s">
        <v>95</v>
      </c>
      <c r="F56" s="3" t="s">
        <v>238</v>
      </c>
      <c r="G56" s="3" t="s">
        <v>49</v>
      </c>
      <c r="H56" s="1" t="s">
        <v>188</v>
      </c>
      <c r="I56" s="3" t="s">
        <v>54</v>
      </c>
      <c r="J56" s="3" t="s">
        <v>189</v>
      </c>
      <c r="K56" s="3">
        <v>1</v>
      </c>
      <c r="L56" s="9" t="str">
        <f t="shared" si="0"/>
        <v>NURUL HAYAH</v>
      </c>
      <c r="M56" s="33" t="s">
        <v>442</v>
      </c>
      <c r="N56" s="32"/>
      <c r="O56" s="32">
        <v>0</v>
      </c>
      <c r="P56" s="17" t="s">
        <v>383</v>
      </c>
      <c r="Q56" s="12">
        <v>0</v>
      </c>
      <c r="R56" s="15" t="s">
        <v>375</v>
      </c>
      <c r="S56" s="12">
        <v>0</v>
      </c>
    </row>
    <row r="57" spans="1:19" x14ac:dyDescent="0.35">
      <c r="A57" s="21" t="s">
        <v>293</v>
      </c>
      <c r="B57" s="1" t="s">
        <v>186</v>
      </c>
      <c r="C57" s="2">
        <v>27106</v>
      </c>
      <c r="D57" s="2">
        <v>35521</v>
      </c>
      <c r="E57" s="3" t="s">
        <v>187</v>
      </c>
      <c r="F57" s="3" t="s">
        <v>238</v>
      </c>
      <c r="G57" s="3" t="s">
        <v>73</v>
      </c>
      <c r="H57" s="1" t="s">
        <v>188</v>
      </c>
      <c r="I57" s="3" t="s">
        <v>54</v>
      </c>
      <c r="J57" s="3" t="s">
        <v>189</v>
      </c>
      <c r="K57" s="3">
        <v>1</v>
      </c>
      <c r="L57" s="9" t="str">
        <f t="shared" si="0"/>
        <v>DEWI NOOR AMELIA</v>
      </c>
      <c r="M57" s="34" t="s">
        <v>445</v>
      </c>
      <c r="O57" s="32">
        <v>0</v>
      </c>
      <c r="P57" s="15" t="s">
        <v>356</v>
      </c>
      <c r="Q57" s="12">
        <v>0</v>
      </c>
      <c r="R57" s="17" t="s">
        <v>355</v>
      </c>
      <c r="S57" s="12">
        <v>0</v>
      </c>
    </row>
    <row r="58" spans="1:19" x14ac:dyDescent="0.35">
      <c r="A58" s="11">
        <v>110000020</v>
      </c>
      <c r="B58" s="1" t="s">
        <v>195</v>
      </c>
      <c r="C58" s="2">
        <v>32959</v>
      </c>
      <c r="D58" s="2">
        <v>40491</v>
      </c>
      <c r="E58" s="3" t="s">
        <v>196</v>
      </c>
      <c r="F58" s="3" t="s">
        <v>238</v>
      </c>
      <c r="G58" s="3" t="s">
        <v>14</v>
      </c>
      <c r="H58" s="1" t="s">
        <v>188</v>
      </c>
      <c r="I58" s="3" t="s">
        <v>54</v>
      </c>
      <c r="J58" s="3" t="s">
        <v>189</v>
      </c>
      <c r="K58" s="3">
        <v>1</v>
      </c>
      <c r="L58" s="9" t="str">
        <f t="shared" si="0"/>
        <v>SUCI PRIHATININGTIAS</v>
      </c>
      <c r="M58" s="34" t="s">
        <v>446</v>
      </c>
      <c r="O58" s="32">
        <v>0</v>
      </c>
      <c r="P58" s="15" t="s">
        <v>375</v>
      </c>
      <c r="Q58" s="14" t="s">
        <v>356</v>
      </c>
      <c r="R58" s="15" t="s">
        <v>356</v>
      </c>
      <c r="S58" s="17" t="s">
        <v>355</v>
      </c>
    </row>
    <row r="59" spans="1:19" x14ac:dyDescent="0.35">
      <c r="A59" s="21" t="s">
        <v>294</v>
      </c>
      <c r="B59" s="1" t="s">
        <v>203</v>
      </c>
      <c r="C59" s="2">
        <v>35410</v>
      </c>
      <c r="D59" s="2">
        <v>43444</v>
      </c>
      <c r="E59" s="3" t="s">
        <v>95</v>
      </c>
      <c r="F59" s="3" t="s">
        <v>238</v>
      </c>
      <c r="G59" s="3" t="s">
        <v>49</v>
      </c>
      <c r="H59" s="1" t="s">
        <v>188</v>
      </c>
      <c r="I59" s="3" t="s">
        <v>54</v>
      </c>
      <c r="J59" s="3" t="s">
        <v>189</v>
      </c>
      <c r="K59" s="3">
        <v>1</v>
      </c>
      <c r="L59" s="9" t="str">
        <f t="shared" si="0"/>
        <v>INAYATUL LATIFAH</v>
      </c>
      <c r="M59" s="33" t="s">
        <v>443</v>
      </c>
      <c r="N59" s="32"/>
      <c r="O59" s="32">
        <v>0</v>
      </c>
      <c r="P59" s="17" t="s">
        <v>383</v>
      </c>
      <c r="Q59" s="12">
        <v>0</v>
      </c>
      <c r="R59" s="15" t="s">
        <v>375</v>
      </c>
      <c r="S59" s="12">
        <v>0</v>
      </c>
    </row>
    <row r="60" spans="1:19" x14ac:dyDescent="0.35">
      <c r="A60" s="21" t="s">
        <v>295</v>
      </c>
      <c r="B60" s="1" t="s">
        <v>208</v>
      </c>
      <c r="C60" s="2">
        <v>29577</v>
      </c>
      <c r="D60" s="2">
        <v>40913</v>
      </c>
      <c r="E60" s="3" t="s">
        <v>95</v>
      </c>
      <c r="F60" s="3" t="s">
        <v>238</v>
      </c>
      <c r="G60" s="3" t="s">
        <v>49</v>
      </c>
      <c r="H60" s="1" t="s">
        <v>188</v>
      </c>
      <c r="I60" s="3" t="s">
        <v>54</v>
      </c>
      <c r="J60" s="3" t="s">
        <v>189</v>
      </c>
      <c r="K60" s="3">
        <v>1</v>
      </c>
      <c r="L60" s="9" t="str">
        <f t="shared" si="0"/>
        <v>IVONNE MARGARETHA TANGKA,</v>
      </c>
      <c r="M60" s="33" t="s">
        <v>448</v>
      </c>
      <c r="N60" s="32"/>
      <c r="O60" s="32">
        <v>0</v>
      </c>
      <c r="P60" s="17" t="s">
        <v>383</v>
      </c>
      <c r="Q60" s="12">
        <v>0</v>
      </c>
      <c r="R60" s="15" t="s">
        <v>375</v>
      </c>
      <c r="S60" s="12">
        <v>0</v>
      </c>
    </row>
    <row r="61" spans="1:19" x14ac:dyDescent="0.35">
      <c r="A61" s="21" t="s">
        <v>296</v>
      </c>
      <c r="B61" s="1" t="s">
        <v>211</v>
      </c>
      <c r="C61" s="2">
        <v>34894</v>
      </c>
      <c r="D61" s="2">
        <v>41827</v>
      </c>
      <c r="E61" s="3" t="s">
        <v>95</v>
      </c>
      <c r="F61" s="3" t="s">
        <v>238</v>
      </c>
      <c r="G61" s="3" t="s">
        <v>49</v>
      </c>
      <c r="H61" s="1" t="s">
        <v>188</v>
      </c>
      <c r="I61" s="3" t="s">
        <v>54</v>
      </c>
      <c r="J61" s="3" t="s">
        <v>189</v>
      </c>
      <c r="K61" s="3">
        <v>1</v>
      </c>
      <c r="L61" s="9" t="str">
        <f t="shared" si="0"/>
        <v>RATNA PUJI RAHAYU</v>
      </c>
      <c r="M61" s="33" t="s">
        <v>449</v>
      </c>
      <c r="N61" s="32"/>
      <c r="O61" s="32">
        <v>0</v>
      </c>
      <c r="P61" s="17" t="s">
        <v>383</v>
      </c>
      <c r="Q61" s="12">
        <v>0</v>
      </c>
      <c r="R61" s="15" t="s">
        <v>375</v>
      </c>
      <c r="S61" s="12">
        <v>0</v>
      </c>
    </row>
    <row r="62" spans="1:19" x14ac:dyDescent="0.35">
      <c r="A62" s="21" t="s">
        <v>297</v>
      </c>
      <c r="B62" s="1" t="s">
        <v>212</v>
      </c>
      <c r="C62" s="2">
        <v>35121</v>
      </c>
      <c r="D62" s="2">
        <v>42104</v>
      </c>
      <c r="E62" s="3" t="s">
        <v>95</v>
      </c>
      <c r="F62" s="3" t="s">
        <v>238</v>
      </c>
      <c r="G62" s="3" t="s">
        <v>49</v>
      </c>
      <c r="H62" s="1" t="s">
        <v>188</v>
      </c>
      <c r="I62" s="3" t="s">
        <v>54</v>
      </c>
      <c r="J62" s="3" t="s">
        <v>189</v>
      </c>
      <c r="K62" s="3">
        <v>1</v>
      </c>
      <c r="L62" s="9" t="str">
        <f t="shared" si="0"/>
        <v>ADETIYA FITRIYANA</v>
      </c>
      <c r="M62" s="32" t="s">
        <v>450</v>
      </c>
      <c r="N62" s="32"/>
      <c r="O62" s="32">
        <v>0</v>
      </c>
      <c r="P62" s="17" t="s">
        <v>383</v>
      </c>
      <c r="Q62" s="12">
        <v>0</v>
      </c>
      <c r="R62" s="15" t="s">
        <v>375</v>
      </c>
      <c r="S62" s="12">
        <v>0</v>
      </c>
    </row>
    <row r="63" spans="1:19" x14ac:dyDescent="0.35">
      <c r="A63" s="21" t="s">
        <v>298</v>
      </c>
      <c r="B63" s="1" t="s">
        <v>230</v>
      </c>
      <c r="C63" s="2">
        <v>34202</v>
      </c>
      <c r="D63" s="2">
        <v>41649</v>
      </c>
      <c r="E63" s="3" t="s">
        <v>95</v>
      </c>
      <c r="F63" s="3" t="s">
        <v>238</v>
      </c>
      <c r="G63" s="3" t="s">
        <v>49</v>
      </c>
      <c r="H63" s="1" t="s">
        <v>188</v>
      </c>
      <c r="I63" s="3" t="s">
        <v>54</v>
      </c>
      <c r="J63" s="3" t="s">
        <v>189</v>
      </c>
      <c r="K63" s="3">
        <v>1</v>
      </c>
      <c r="L63" s="9" t="str">
        <f t="shared" si="0"/>
        <v>AYU AGUSTINA</v>
      </c>
      <c r="M63" s="33" t="s">
        <v>451</v>
      </c>
      <c r="N63" s="32"/>
      <c r="O63" s="32">
        <v>0</v>
      </c>
      <c r="P63" s="17" t="s">
        <v>383</v>
      </c>
      <c r="Q63" s="12">
        <v>0</v>
      </c>
      <c r="R63" s="15" t="s">
        <v>375</v>
      </c>
      <c r="S63" s="12">
        <v>0</v>
      </c>
    </row>
    <row r="64" spans="1:19" x14ac:dyDescent="0.35">
      <c r="A64" s="21" t="s">
        <v>299</v>
      </c>
      <c r="B64" s="1" t="s">
        <v>40</v>
      </c>
      <c r="C64" s="2">
        <v>31204</v>
      </c>
      <c r="D64" s="2">
        <v>39318</v>
      </c>
      <c r="E64" s="3" t="s">
        <v>41</v>
      </c>
      <c r="F64" s="3" t="s">
        <v>42</v>
      </c>
      <c r="G64" s="3" t="s">
        <v>23</v>
      </c>
      <c r="H64" s="1" t="s">
        <v>43</v>
      </c>
      <c r="I64" s="3" t="s">
        <v>16</v>
      </c>
      <c r="J64" s="3" t="s">
        <v>44</v>
      </c>
      <c r="K64" s="3">
        <v>1</v>
      </c>
      <c r="L64" s="9" t="str">
        <f t="shared" si="0"/>
        <v>KARIMUN</v>
      </c>
      <c r="M64" s="32"/>
      <c r="N64" s="32"/>
      <c r="O64" s="32">
        <v>0</v>
      </c>
      <c r="P64" s="17" t="s">
        <v>384</v>
      </c>
      <c r="Q64" s="12">
        <v>0</v>
      </c>
      <c r="R64" s="15" t="s">
        <v>374</v>
      </c>
      <c r="S64" s="12">
        <v>0</v>
      </c>
    </row>
    <row r="65" spans="1:19" x14ac:dyDescent="0.35">
      <c r="A65" s="21" t="s">
        <v>300</v>
      </c>
      <c r="B65" s="1" t="s">
        <v>45</v>
      </c>
      <c r="C65" s="2">
        <v>29571</v>
      </c>
      <c r="D65" s="2">
        <v>40658</v>
      </c>
      <c r="E65" s="3" t="s">
        <v>41</v>
      </c>
      <c r="F65" s="3" t="s">
        <v>42</v>
      </c>
      <c r="G65" s="3" t="s">
        <v>23</v>
      </c>
      <c r="H65" s="1" t="s">
        <v>43</v>
      </c>
      <c r="I65" s="3" t="s">
        <v>16</v>
      </c>
      <c r="J65" s="3" t="s">
        <v>44</v>
      </c>
      <c r="K65" s="3">
        <v>1</v>
      </c>
      <c r="L65" s="9" t="str">
        <f t="shared" si="0"/>
        <v>SAHIRIN</v>
      </c>
      <c r="M65" s="32"/>
      <c r="N65" s="32"/>
      <c r="O65" s="32">
        <v>0</v>
      </c>
      <c r="P65" s="17" t="s">
        <v>384</v>
      </c>
      <c r="Q65" s="12">
        <v>0</v>
      </c>
      <c r="R65" s="15" t="s">
        <v>374</v>
      </c>
      <c r="S65" s="12">
        <v>0</v>
      </c>
    </row>
    <row r="66" spans="1:19" x14ac:dyDescent="0.35">
      <c r="A66" s="21" t="s">
        <v>301</v>
      </c>
      <c r="B66" s="1" t="s">
        <v>46</v>
      </c>
      <c r="C66" s="2">
        <v>25932</v>
      </c>
      <c r="D66" s="2">
        <v>41229</v>
      </c>
      <c r="E66" s="3" t="s">
        <v>30</v>
      </c>
      <c r="F66" s="3" t="s">
        <v>42</v>
      </c>
      <c r="G66" s="3" t="s">
        <v>23</v>
      </c>
      <c r="H66" s="1" t="s">
        <v>43</v>
      </c>
      <c r="I66" s="3" t="s">
        <v>16</v>
      </c>
      <c r="J66" s="3" t="s">
        <v>44</v>
      </c>
      <c r="K66" s="3">
        <v>1</v>
      </c>
      <c r="L66" s="9" t="str">
        <f t="shared" si="0"/>
        <v>M HIDAYAT ANDE</v>
      </c>
      <c r="M66" s="32"/>
      <c r="N66" s="32"/>
      <c r="O66" s="32">
        <v>0</v>
      </c>
      <c r="P66" s="17" t="s">
        <v>384</v>
      </c>
      <c r="Q66" s="12">
        <v>0</v>
      </c>
      <c r="R66" s="15" t="s">
        <v>374</v>
      </c>
      <c r="S66" s="12">
        <v>0</v>
      </c>
    </row>
    <row r="67" spans="1:19" x14ac:dyDescent="0.35">
      <c r="A67" s="21" t="s">
        <v>302</v>
      </c>
      <c r="B67" s="1" t="s">
        <v>24</v>
      </c>
      <c r="C67" s="2">
        <v>35684</v>
      </c>
      <c r="D67" s="2">
        <v>44858</v>
      </c>
      <c r="E67" s="3" t="s">
        <v>25</v>
      </c>
      <c r="F67" s="3" t="s">
        <v>13</v>
      </c>
      <c r="G67" s="3" t="s">
        <v>49</v>
      </c>
      <c r="H67" s="1" t="s">
        <v>15</v>
      </c>
      <c r="I67" s="3" t="s">
        <v>26</v>
      </c>
      <c r="J67" s="3" t="s">
        <v>17</v>
      </c>
      <c r="K67" s="3">
        <v>1</v>
      </c>
      <c r="L67" s="9" t="str">
        <f t="shared" ref="L67:L127" si="1">B67</f>
        <v>ASRI ARDHYARINI</v>
      </c>
      <c r="M67" s="32" t="s">
        <v>452</v>
      </c>
      <c r="N67" s="32"/>
      <c r="O67" s="32">
        <v>0</v>
      </c>
      <c r="P67" s="17" t="s">
        <v>182</v>
      </c>
      <c r="Q67" s="14" t="s">
        <v>377</v>
      </c>
      <c r="R67" s="20" t="s">
        <v>373</v>
      </c>
      <c r="S67" s="12">
        <v>0</v>
      </c>
    </row>
    <row r="68" spans="1:19" x14ac:dyDescent="0.35">
      <c r="A68" s="11">
        <v>107040001</v>
      </c>
      <c r="B68" s="1" t="s">
        <v>11</v>
      </c>
      <c r="C68" s="2">
        <v>25788</v>
      </c>
      <c r="D68" s="2">
        <v>39264</v>
      </c>
      <c r="E68" s="3" t="s">
        <v>12</v>
      </c>
      <c r="F68" s="3" t="s">
        <v>13</v>
      </c>
      <c r="G68" s="3" t="s">
        <v>14</v>
      </c>
      <c r="H68" s="1" t="s">
        <v>15</v>
      </c>
      <c r="I68" s="3" t="s">
        <v>16</v>
      </c>
      <c r="J68" s="3" t="s">
        <v>17</v>
      </c>
      <c r="K68" s="3">
        <v>1</v>
      </c>
      <c r="L68" s="9" t="str">
        <f t="shared" si="1"/>
        <v>ASISUL KOIRIAH</v>
      </c>
      <c r="M68" s="34" t="s">
        <v>453</v>
      </c>
      <c r="O68" s="32">
        <v>0</v>
      </c>
      <c r="P68" s="15" t="s">
        <v>374</v>
      </c>
      <c r="Q68" s="12">
        <v>0</v>
      </c>
      <c r="R68" s="15" t="s">
        <v>368</v>
      </c>
      <c r="S68" s="14" t="s">
        <v>356</v>
      </c>
    </row>
    <row r="69" spans="1:19" x14ac:dyDescent="0.35">
      <c r="A69" s="21" t="s">
        <v>303</v>
      </c>
      <c r="B69" s="1" t="s">
        <v>18</v>
      </c>
      <c r="C69" s="2">
        <v>25498</v>
      </c>
      <c r="D69" s="2">
        <v>39264</v>
      </c>
      <c r="E69" s="3" t="s">
        <v>19</v>
      </c>
      <c r="F69" s="3" t="s">
        <v>13</v>
      </c>
      <c r="G69" s="3" t="s">
        <v>20</v>
      </c>
      <c r="H69" s="1" t="s">
        <v>15</v>
      </c>
      <c r="I69" s="3" t="s">
        <v>16</v>
      </c>
      <c r="J69" s="3" t="s">
        <v>17</v>
      </c>
      <c r="K69" s="3">
        <v>1</v>
      </c>
      <c r="L69" s="9" t="str">
        <f t="shared" si="1"/>
        <v>IVAN  LESMANA</v>
      </c>
      <c r="M69" s="32" t="s">
        <v>454</v>
      </c>
      <c r="N69" s="32"/>
      <c r="O69" s="32">
        <v>0</v>
      </c>
      <c r="P69" s="17" t="s">
        <v>384</v>
      </c>
      <c r="Q69" s="15" t="s">
        <v>374</v>
      </c>
      <c r="R69" s="15" t="s">
        <v>374</v>
      </c>
      <c r="S69" s="14" t="s">
        <v>356</v>
      </c>
    </row>
    <row r="70" spans="1:19" x14ac:dyDescent="0.35">
      <c r="A70" s="21" t="s">
        <v>304</v>
      </c>
      <c r="B70" s="1" t="s">
        <v>21</v>
      </c>
      <c r="C70" s="2">
        <v>28742</v>
      </c>
      <c r="D70" s="2">
        <v>39351</v>
      </c>
      <c r="E70" s="3" t="s">
        <v>22</v>
      </c>
      <c r="F70" s="3" t="s">
        <v>13</v>
      </c>
      <c r="G70" s="3" t="s">
        <v>23</v>
      </c>
      <c r="H70" s="1" t="s">
        <v>15</v>
      </c>
      <c r="I70" s="3" t="s">
        <v>16</v>
      </c>
      <c r="J70" s="3" t="s">
        <v>17</v>
      </c>
      <c r="K70" s="3">
        <v>1</v>
      </c>
      <c r="L70" s="9" t="str">
        <f t="shared" si="1"/>
        <v>YOHANES TEDE KOBAN</v>
      </c>
      <c r="M70" s="32"/>
      <c r="N70" s="32"/>
      <c r="O70" s="32">
        <v>0</v>
      </c>
      <c r="P70" s="17" t="s">
        <v>384</v>
      </c>
      <c r="Q70" s="12">
        <v>0</v>
      </c>
      <c r="R70" s="15" t="s">
        <v>374</v>
      </c>
      <c r="S70" s="12">
        <v>0</v>
      </c>
    </row>
    <row r="71" spans="1:19" x14ac:dyDescent="0.35">
      <c r="A71" s="21" t="s">
        <v>305</v>
      </c>
      <c r="B71" s="1" t="s">
        <v>27</v>
      </c>
      <c r="C71" s="2">
        <v>30493</v>
      </c>
      <c r="D71" s="2">
        <v>41080</v>
      </c>
      <c r="E71" s="3" t="s">
        <v>28</v>
      </c>
      <c r="F71" s="3" t="s">
        <v>13</v>
      </c>
      <c r="G71" s="3" t="s">
        <v>49</v>
      </c>
      <c r="H71" s="1" t="s">
        <v>15</v>
      </c>
      <c r="I71" s="3" t="s">
        <v>16</v>
      </c>
      <c r="J71" s="3" t="s">
        <v>17</v>
      </c>
      <c r="K71" s="3">
        <v>1</v>
      </c>
      <c r="L71" s="9" t="str">
        <f t="shared" si="1"/>
        <v>MUHAMAD</v>
      </c>
      <c r="M71" s="32" t="s">
        <v>456</v>
      </c>
      <c r="N71" s="32"/>
      <c r="O71" s="32">
        <v>0</v>
      </c>
      <c r="P71" s="17" t="s">
        <v>384</v>
      </c>
      <c r="Q71" s="12">
        <v>0</v>
      </c>
      <c r="R71" s="15" t="s">
        <v>374</v>
      </c>
      <c r="S71" s="12">
        <v>0</v>
      </c>
    </row>
    <row r="72" spans="1:19" x14ac:dyDescent="0.35">
      <c r="A72" s="21" t="s">
        <v>306</v>
      </c>
      <c r="B72" s="1" t="s">
        <v>67</v>
      </c>
      <c r="C72" s="2">
        <v>27866</v>
      </c>
      <c r="D72" s="2">
        <v>41704</v>
      </c>
      <c r="E72" s="3" t="s">
        <v>57</v>
      </c>
      <c r="F72" s="3" t="s">
        <v>51</v>
      </c>
      <c r="G72" s="3" t="s">
        <v>49</v>
      </c>
      <c r="H72" s="1" t="s">
        <v>53</v>
      </c>
      <c r="I72" s="3" t="s">
        <v>54</v>
      </c>
      <c r="J72" s="3" t="s">
        <v>55</v>
      </c>
      <c r="K72" s="3">
        <v>1</v>
      </c>
      <c r="L72" s="9" t="str">
        <f t="shared" si="1"/>
        <v>MISNELLI</v>
      </c>
      <c r="M72" s="33" t="s">
        <v>457</v>
      </c>
      <c r="N72" s="32"/>
      <c r="O72" s="32">
        <v>0</v>
      </c>
      <c r="P72" s="17" t="s">
        <v>380</v>
      </c>
      <c r="Q72" s="12">
        <v>0</v>
      </c>
      <c r="R72" s="15" t="s">
        <v>371</v>
      </c>
      <c r="S72" s="12">
        <v>0</v>
      </c>
    </row>
    <row r="73" spans="1:19" x14ac:dyDescent="0.35">
      <c r="A73" s="21" t="s">
        <v>307</v>
      </c>
      <c r="B73" s="1" t="s">
        <v>112</v>
      </c>
      <c r="C73" s="2">
        <v>27197</v>
      </c>
      <c r="D73" s="2">
        <v>37303</v>
      </c>
      <c r="E73" s="3" t="s">
        <v>41</v>
      </c>
      <c r="F73" s="3" t="s">
        <v>48</v>
      </c>
      <c r="G73" s="3" t="s">
        <v>52</v>
      </c>
      <c r="H73" s="1" t="s">
        <v>113</v>
      </c>
      <c r="I73" s="3" t="s">
        <v>54</v>
      </c>
      <c r="J73" s="3" t="s">
        <v>114</v>
      </c>
      <c r="K73" s="3">
        <v>1</v>
      </c>
      <c r="L73" s="9" t="str">
        <f t="shared" si="1"/>
        <v>ZUNIANA BASTONI</v>
      </c>
      <c r="M73" s="32"/>
      <c r="N73" s="32"/>
      <c r="O73" s="32">
        <v>0</v>
      </c>
      <c r="P73" s="17" t="s">
        <v>364</v>
      </c>
      <c r="Q73" s="12">
        <v>0</v>
      </c>
      <c r="R73" s="15" t="s">
        <v>370</v>
      </c>
      <c r="S73" s="12">
        <v>0</v>
      </c>
    </row>
    <row r="74" spans="1:19" x14ac:dyDescent="0.35">
      <c r="A74" s="21" t="s">
        <v>308</v>
      </c>
      <c r="B74" s="1" t="s">
        <v>121</v>
      </c>
      <c r="C74" s="2">
        <v>29048</v>
      </c>
      <c r="D74" s="2">
        <v>40380</v>
      </c>
      <c r="E74" s="3" t="s">
        <v>41</v>
      </c>
      <c r="F74" s="3" t="s">
        <v>48</v>
      </c>
      <c r="G74" s="3" t="s">
        <v>52</v>
      </c>
      <c r="H74" s="1" t="s">
        <v>113</v>
      </c>
      <c r="I74" s="3" t="s">
        <v>54</v>
      </c>
      <c r="J74" s="3" t="s">
        <v>114</v>
      </c>
      <c r="K74" s="3">
        <v>1</v>
      </c>
      <c r="L74" s="9" t="str">
        <f t="shared" si="1"/>
        <v>JAWAHIR AING</v>
      </c>
      <c r="M74" s="32"/>
      <c r="N74" s="32"/>
      <c r="O74" s="32">
        <v>0</v>
      </c>
      <c r="P74" s="17" t="s">
        <v>364</v>
      </c>
      <c r="Q74" s="12">
        <v>0</v>
      </c>
      <c r="R74" s="15" t="s">
        <v>370</v>
      </c>
      <c r="S74" s="12">
        <v>0</v>
      </c>
    </row>
    <row r="75" spans="1:19" x14ac:dyDescent="0.35">
      <c r="A75" s="21" t="s">
        <v>309</v>
      </c>
      <c r="B75" s="1" t="s">
        <v>143</v>
      </c>
      <c r="C75" s="2">
        <v>30135</v>
      </c>
      <c r="D75" s="2">
        <v>41099</v>
      </c>
      <c r="E75" s="3" t="s">
        <v>144</v>
      </c>
      <c r="F75" s="3" t="s">
        <v>48</v>
      </c>
      <c r="G75" s="3" t="s">
        <v>52</v>
      </c>
      <c r="H75" s="1" t="s">
        <v>113</v>
      </c>
      <c r="I75" s="3" t="s">
        <v>54</v>
      </c>
      <c r="J75" s="3" t="s">
        <v>114</v>
      </c>
      <c r="K75" s="3">
        <v>1</v>
      </c>
      <c r="L75" s="9" t="str">
        <f t="shared" si="1"/>
        <v>TARJUKI</v>
      </c>
      <c r="M75" s="32"/>
      <c r="N75" s="32"/>
      <c r="O75" s="32">
        <v>0</v>
      </c>
      <c r="P75" s="17" t="s">
        <v>364</v>
      </c>
      <c r="Q75" s="12">
        <v>0</v>
      </c>
      <c r="R75" s="15" t="s">
        <v>370</v>
      </c>
      <c r="S75" s="12">
        <v>0</v>
      </c>
    </row>
    <row r="76" spans="1:19" x14ac:dyDescent="0.35">
      <c r="A76" s="21" t="s">
        <v>310</v>
      </c>
      <c r="B76" s="1" t="s">
        <v>145</v>
      </c>
      <c r="C76" s="2">
        <v>34896</v>
      </c>
      <c r="D76" s="2">
        <v>42304</v>
      </c>
      <c r="E76" s="3" t="s">
        <v>144</v>
      </c>
      <c r="F76" s="3" t="s">
        <v>48</v>
      </c>
      <c r="G76" s="3" t="s">
        <v>52</v>
      </c>
      <c r="H76" s="1" t="s">
        <v>113</v>
      </c>
      <c r="I76" s="3" t="s">
        <v>54</v>
      </c>
      <c r="J76" s="3" t="s">
        <v>114</v>
      </c>
      <c r="K76" s="3">
        <v>1</v>
      </c>
      <c r="L76" s="9" t="str">
        <f t="shared" si="1"/>
        <v>MUHAMAD JULIARDI</v>
      </c>
      <c r="M76" s="32"/>
      <c r="N76" s="32"/>
      <c r="O76" s="32">
        <v>0</v>
      </c>
      <c r="P76" s="17" t="s">
        <v>364</v>
      </c>
      <c r="Q76" s="12">
        <v>0</v>
      </c>
      <c r="R76" s="15" t="s">
        <v>370</v>
      </c>
      <c r="S76" s="12">
        <v>0</v>
      </c>
    </row>
    <row r="77" spans="1:19" x14ac:dyDescent="0.35">
      <c r="A77" s="21" t="s">
        <v>311</v>
      </c>
      <c r="B77" s="1" t="s">
        <v>148</v>
      </c>
      <c r="C77" s="2">
        <v>31101</v>
      </c>
      <c r="D77" s="2">
        <v>41540</v>
      </c>
      <c r="E77" s="3" t="s">
        <v>144</v>
      </c>
      <c r="F77" s="3" t="s">
        <v>48</v>
      </c>
      <c r="G77" s="3" t="s">
        <v>52</v>
      </c>
      <c r="H77" s="1" t="s">
        <v>113</v>
      </c>
      <c r="I77" s="3" t="s">
        <v>54</v>
      </c>
      <c r="J77" s="3" t="s">
        <v>114</v>
      </c>
      <c r="K77" s="3">
        <v>1</v>
      </c>
      <c r="L77" s="9" t="str">
        <f t="shared" si="1"/>
        <v>WAHYU ABADI</v>
      </c>
      <c r="M77" s="32"/>
      <c r="N77" s="32"/>
      <c r="O77" s="32">
        <v>0</v>
      </c>
      <c r="P77" s="17" t="s">
        <v>364</v>
      </c>
      <c r="Q77" s="12">
        <v>0</v>
      </c>
      <c r="R77" s="15" t="s">
        <v>370</v>
      </c>
      <c r="S77" s="12">
        <v>0</v>
      </c>
    </row>
    <row r="78" spans="1:19" x14ac:dyDescent="0.35">
      <c r="A78" s="21" t="s">
        <v>312</v>
      </c>
      <c r="B78" s="1" t="s">
        <v>193</v>
      </c>
      <c r="C78" s="2">
        <v>26963</v>
      </c>
      <c r="D78" s="2">
        <v>38698</v>
      </c>
      <c r="E78" s="3" t="s">
        <v>194</v>
      </c>
      <c r="F78" s="3" t="s">
        <v>48</v>
      </c>
      <c r="G78" s="3" t="s">
        <v>47</v>
      </c>
      <c r="H78" s="1" t="s">
        <v>188</v>
      </c>
      <c r="I78" s="3" t="s">
        <v>54</v>
      </c>
      <c r="J78" s="3" t="s">
        <v>189</v>
      </c>
      <c r="K78" s="3">
        <v>1</v>
      </c>
      <c r="L78" s="9" t="str">
        <f t="shared" si="1"/>
        <v>KURNIA OKTAVIANI</v>
      </c>
      <c r="M78" s="9" t="s">
        <v>458</v>
      </c>
      <c r="N78" s="9"/>
      <c r="O78" s="32">
        <v>0</v>
      </c>
      <c r="P78" s="14" t="s">
        <v>356</v>
      </c>
      <c r="Q78" s="12">
        <v>0</v>
      </c>
      <c r="R78" s="15" t="s">
        <v>355</v>
      </c>
      <c r="S78" s="12" t="s">
        <v>367</v>
      </c>
    </row>
    <row r="79" spans="1:19" x14ac:dyDescent="0.35">
      <c r="A79" s="21" t="s">
        <v>313</v>
      </c>
      <c r="B79" s="1" t="s">
        <v>199</v>
      </c>
      <c r="C79" s="2">
        <v>27316</v>
      </c>
      <c r="D79" s="2">
        <v>44935</v>
      </c>
      <c r="E79" s="3" t="s">
        <v>200</v>
      </c>
      <c r="F79" s="3" t="s">
        <v>48</v>
      </c>
      <c r="G79" s="3" t="s">
        <v>73</v>
      </c>
      <c r="H79" s="1" t="s">
        <v>188</v>
      </c>
      <c r="I79" s="3" t="s">
        <v>54</v>
      </c>
      <c r="J79" s="3" t="s">
        <v>189</v>
      </c>
      <c r="K79" s="3">
        <v>1</v>
      </c>
      <c r="L79" s="9" t="str">
        <f t="shared" si="1"/>
        <v>JULIET</v>
      </c>
      <c r="M79" s="9" t="s">
        <v>459</v>
      </c>
      <c r="N79" s="9"/>
      <c r="O79" s="32">
        <v>0</v>
      </c>
      <c r="P79" s="14" t="s">
        <v>356</v>
      </c>
      <c r="Q79" s="12">
        <v>0</v>
      </c>
      <c r="R79" s="15" t="s">
        <v>355</v>
      </c>
      <c r="S79" s="12">
        <v>0</v>
      </c>
    </row>
    <row r="80" spans="1:19" x14ac:dyDescent="0.35">
      <c r="A80" s="21" t="s">
        <v>314</v>
      </c>
      <c r="B80" s="1" t="s">
        <v>201</v>
      </c>
      <c r="C80" s="2">
        <v>36007</v>
      </c>
      <c r="D80" s="2">
        <v>44943</v>
      </c>
      <c r="E80" s="3" t="s">
        <v>202</v>
      </c>
      <c r="F80" s="3" t="s">
        <v>48</v>
      </c>
      <c r="G80" s="3" t="s">
        <v>52</v>
      </c>
      <c r="H80" s="1" t="s">
        <v>188</v>
      </c>
      <c r="I80" s="3" t="s">
        <v>54</v>
      </c>
      <c r="J80" s="3" t="s">
        <v>189</v>
      </c>
      <c r="K80" s="3">
        <v>1</v>
      </c>
      <c r="L80" s="9" t="str">
        <f t="shared" si="1"/>
        <v>LUKMAN CAHYADI</v>
      </c>
      <c r="M80" s="32"/>
      <c r="N80" s="32"/>
      <c r="O80" s="32">
        <v>0</v>
      </c>
      <c r="P80" s="17" t="s">
        <v>364</v>
      </c>
      <c r="Q80" s="12">
        <v>0</v>
      </c>
      <c r="R80" s="15" t="s">
        <v>370</v>
      </c>
      <c r="S80" s="12">
        <v>0</v>
      </c>
    </row>
    <row r="81" spans="1:19" x14ac:dyDescent="0.35">
      <c r="A81" s="21" t="s">
        <v>315</v>
      </c>
      <c r="B81" s="1" t="s">
        <v>214</v>
      </c>
      <c r="C81" s="2">
        <v>35815</v>
      </c>
      <c r="D81" s="2">
        <v>44844</v>
      </c>
      <c r="E81" s="3" t="s">
        <v>215</v>
      </c>
      <c r="F81" s="3" t="s">
        <v>48</v>
      </c>
      <c r="G81" s="3" t="s">
        <v>49</v>
      </c>
      <c r="H81" s="1" t="s">
        <v>188</v>
      </c>
      <c r="I81" s="3" t="s">
        <v>54</v>
      </c>
      <c r="J81" s="3" t="s">
        <v>189</v>
      </c>
      <c r="K81" s="3">
        <v>1</v>
      </c>
      <c r="L81" s="9" t="str">
        <f t="shared" si="1"/>
        <v>NADEA JASONDA</v>
      </c>
      <c r="M81" s="32" t="s">
        <v>460</v>
      </c>
      <c r="N81" s="32"/>
      <c r="O81" s="32">
        <v>0</v>
      </c>
      <c r="P81" s="17" t="s">
        <v>364</v>
      </c>
      <c r="Q81" s="12">
        <v>0</v>
      </c>
      <c r="R81" s="15" t="s">
        <v>370</v>
      </c>
      <c r="S81" s="12">
        <v>0</v>
      </c>
    </row>
    <row r="82" spans="1:19" x14ac:dyDescent="0.35">
      <c r="A82" s="21" t="s">
        <v>316</v>
      </c>
      <c r="B82" s="1" t="s">
        <v>216</v>
      </c>
      <c r="C82" s="2">
        <v>33859</v>
      </c>
      <c r="D82" s="2">
        <v>44872</v>
      </c>
      <c r="E82" s="3" t="s">
        <v>217</v>
      </c>
      <c r="F82" s="3" t="s">
        <v>48</v>
      </c>
      <c r="G82" s="3" t="s">
        <v>49</v>
      </c>
      <c r="H82" s="1" t="s">
        <v>188</v>
      </c>
      <c r="I82" s="3" t="s">
        <v>54</v>
      </c>
      <c r="J82" s="3" t="s">
        <v>189</v>
      </c>
      <c r="K82" s="3">
        <v>1</v>
      </c>
      <c r="L82" s="9" t="str">
        <f t="shared" si="1"/>
        <v>SHILVI  HAYATTUL HUSNA</v>
      </c>
      <c r="M82" s="33" t="s">
        <v>455</v>
      </c>
      <c r="N82" s="32"/>
      <c r="O82" s="32">
        <v>0</v>
      </c>
      <c r="P82" s="17" t="s">
        <v>364</v>
      </c>
      <c r="Q82" s="12">
        <v>0</v>
      </c>
      <c r="R82" s="15" t="s">
        <v>370</v>
      </c>
      <c r="S82" s="12">
        <v>0</v>
      </c>
    </row>
    <row r="83" spans="1:19" x14ac:dyDescent="0.35">
      <c r="A83" s="21" t="s">
        <v>317</v>
      </c>
      <c r="B83" s="1" t="s">
        <v>221</v>
      </c>
      <c r="C83" s="2">
        <v>32564</v>
      </c>
      <c r="D83" s="2">
        <v>40862</v>
      </c>
      <c r="E83" s="3" t="s">
        <v>217</v>
      </c>
      <c r="F83" s="3" t="s">
        <v>48</v>
      </c>
      <c r="G83" s="3" t="s">
        <v>49</v>
      </c>
      <c r="H83" s="1" t="s">
        <v>188</v>
      </c>
      <c r="I83" s="3" t="s">
        <v>54</v>
      </c>
      <c r="J83" s="3" t="s">
        <v>189</v>
      </c>
      <c r="K83" s="3">
        <v>1</v>
      </c>
      <c r="L83" s="9" t="str">
        <f t="shared" si="1"/>
        <v>SULISTYOWATI HANDAYANI</v>
      </c>
      <c r="M83" s="32" t="s">
        <v>472</v>
      </c>
      <c r="N83" s="32"/>
      <c r="O83" s="32">
        <v>0</v>
      </c>
      <c r="P83" s="17" t="s">
        <v>364</v>
      </c>
      <c r="Q83" s="12">
        <v>0</v>
      </c>
      <c r="R83" s="15" t="s">
        <v>370</v>
      </c>
      <c r="S83" s="12">
        <v>0</v>
      </c>
    </row>
    <row r="84" spans="1:19" x14ac:dyDescent="0.35">
      <c r="A84" s="21" t="s">
        <v>318</v>
      </c>
      <c r="B84" s="1" t="s">
        <v>222</v>
      </c>
      <c r="C84" s="2">
        <v>34032</v>
      </c>
      <c r="D84" s="2">
        <v>41211</v>
      </c>
      <c r="E84" s="3" t="s">
        <v>74</v>
      </c>
      <c r="F84" s="3" t="s">
        <v>48</v>
      </c>
      <c r="G84" s="3" t="s">
        <v>14</v>
      </c>
      <c r="H84" s="1" t="s">
        <v>188</v>
      </c>
      <c r="I84" s="3" t="s">
        <v>54</v>
      </c>
      <c r="J84" s="3" t="s">
        <v>189</v>
      </c>
      <c r="K84" s="3">
        <v>1</v>
      </c>
      <c r="L84" s="9" t="str">
        <f t="shared" si="1"/>
        <v>SHELVY FITRIANI</v>
      </c>
      <c r="M84" s="3" t="s">
        <v>461</v>
      </c>
      <c r="O84" s="32">
        <v>0</v>
      </c>
      <c r="P84" s="15" t="s">
        <v>370</v>
      </c>
      <c r="Q84" s="12">
        <v>0</v>
      </c>
      <c r="R84" s="14" t="s">
        <v>356</v>
      </c>
      <c r="S84" s="12">
        <v>0</v>
      </c>
    </row>
    <row r="85" spans="1:19" x14ac:dyDescent="0.35">
      <c r="A85" s="21" t="s">
        <v>319</v>
      </c>
      <c r="B85" s="1" t="s">
        <v>225</v>
      </c>
      <c r="C85" s="2">
        <v>32884</v>
      </c>
      <c r="D85" s="2">
        <v>43045</v>
      </c>
      <c r="E85" s="3" t="s">
        <v>217</v>
      </c>
      <c r="F85" s="3" t="s">
        <v>48</v>
      </c>
      <c r="G85" s="3" t="s">
        <v>49</v>
      </c>
      <c r="H85" s="1" t="s">
        <v>188</v>
      </c>
      <c r="I85" s="3" t="s">
        <v>54</v>
      </c>
      <c r="J85" s="3" t="s">
        <v>189</v>
      </c>
      <c r="K85" s="3">
        <v>1</v>
      </c>
      <c r="L85" s="9" t="str">
        <f t="shared" si="1"/>
        <v>WINARDI EKA SAPUTRA</v>
      </c>
      <c r="M85" s="32" t="s">
        <v>473</v>
      </c>
      <c r="N85" s="32"/>
      <c r="O85" s="32">
        <v>0</v>
      </c>
      <c r="P85" s="17" t="s">
        <v>364</v>
      </c>
      <c r="Q85" s="12">
        <v>0</v>
      </c>
      <c r="R85" s="15" t="s">
        <v>370</v>
      </c>
      <c r="S85" s="12">
        <v>0</v>
      </c>
    </row>
    <row r="86" spans="1:19" x14ac:dyDescent="0.35">
      <c r="A86" s="21" t="s">
        <v>320</v>
      </c>
      <c r="B86" s="1" t="s">
        <v>161</v>
      </c>
      <c r="C86" s="2">
        <v>36216</v>
      </c>
      <c r="D86" s="2">
        <v>44725</v>
      </c>
      <c r="E86" s="3" t="s">
        <v>25</v>
      </c>
      <c r="F86" s="3" t="s">
        <v>239</v>
      </c>
      <c r="G86" s="3" t="s">
        <v>49</v>
      </c>
      <c r="H86" s="1" t="s">
        <v>155</v>
      </c>
      <c r="I86" s="3" t="s">
        <v>54</v>
      </c>
      <c r="J86" s="3" t="s">
        <v>156</v>
      </c>
      <c r="K86" s="3">
        <v>1</v>
      </c>
      <c r="L86" s="9" t="str">
        <f t="shared" si="1"/>
        <v>MUHAMMAD REZA AMINULLAH</v>
      </c>
      <c r="M86" s="32" t="s">
        <v>474</v>
      </c>
      <c r="N86" s="32"/>
      <c r="O86" s="32">
        <v>0</v>
      </c>
      <c r="P86" s="17" t="s">
        <v>385</v>
      </c>
      <c r="Q86" s="14" t="s">
        <v>377</v>
      </c>
      <c r="R86" s="15" t="s">
        <v>373</v>
      </c>
      <c r="S86" s="12">
        <v>0</v>
      </c>
    </row>
    <row r="87" spans="1:19" x14ac:dyDescent="0.35">
      <c r="A87" s="21" t="s">
        <v>321</v>
      </c>
      <c r="B87" s="1" t="s">
        <v>172</v>
      </c>
      <c r="C87" s="2">
        <v>34137</v>
      </c>
      <c r="D87" s="2">
        <v>43067</v>
      </c>
      <c r="E87" s="3" t="s">
        <v>25</v>
      </c>
      <c r="F87" s="3" t="s">
        <v>239</v>
      </c>
      <c r="G87" s="3" t="s">
        <v>49</v>
      </c>
      <c r="H87" s="1" t="s">
        <v>167</v>
      </c>
      <c r="I87" s="3" t="s">
        <v>54</v>
      </c>
      <c r="J87" s="3" t="s">
        <v>168</v>
      </c>
      <c r="K87" s="3">
        <v>1</v>
      </c>
      <c r="L87" s="9" t="str">
        <f t="shared" si="1"/>
        <v>KIKI FADHILA</v>
      </c>
      <c r="M87" s="32" t="s">
        <v>462</v>
      </c>
      <c r="N87" s="32"/>
      <c r="O87" s="32">
        <v>0</v>
      </c>
      <c r="P87" s="17" t="s">
        <v>385</v>
      </c>
      <c r="Q87" s="14" t="s">
        <v>377</v>
      </c>
      <c r="R87" s="15" t="s">
        <v>373</v>
      </c>
      <c r="S87" s="12">
        <v>0</v>
      </c>
    </row>
    <row r="88" spans="1:19" x14ac:dyDescent="0.35">
      <c r="A88" s="11">
        <v>114000186</v>
      </c>
      <c r="B88" s="1" t="s">
        <v>173</v>
      </c>
      <c r="C88" s="2">
        <v>27136</v>
      </c>
      <c r="D88" s="2">
        <v>41813</v>
      </c>
      <c r="E88" s="3" t="s">
        <v>60</v>
      </c>
      <c r="F88" s="3" t="s">
        <v>239</v>
      </c>
      <c r="G88" s="3" t="s">
        <v>14</v>
      </c>
      <c r="H88" s="1" t="s">
        <v>167</v>
      </c>
      <c r="I88" s="3" t="s">
        <v>54</v>
      </c>
      <c r="J88" s="3" t="s">
        <v>168</v>
      </c>
      <c r="K88" s="3">
        <v>1</v>
      </c>
      <c r="L88" s="9" t="str">
        <f t="shared" si="1"/>
        <v>BIWARANTO</v>
      </c>
      <c r="M88" s="3" t="s">
        <v>475</v>
      </c>
      <c r="O88" s="32">
        <v>0</v>
      </c>
      <c r="P88" s="20" t="s">
        <v>373</v>
      </c>
      <c r="Q88" s="12">
        <v>0</v>
      </c>
      <c r="R88" s="20" t="s">
        <v>372</v>
      </c>
      <c r="S88" s="14" t="s">
        <v>356</v>
      </c>
    </row>
    <row r="89" spans="1:19" x14ac:dyDescent="0.35">
      <c r="A89" s="21" t="s">
        <v>322</v>
      </c>
      <c r="B89" s="1" t="s">
        <v>174</v>
      </c>
      <c r="C89" s="2">
        <v>34579</v>
      </c>
      <c r="D89" s="2">
        <v>42051</v>
      </c>
      <c r="E89" s="3" t="s">
        <v>25</v>
      </c>
      <c r="F89" s="3" t="s">
        <v>239</v>
      </c>
      <c r="G89" s="3" t="s">
        <v>49</v>
      </c>
      <c r="H89" s="1" t="s">
        <v>167</v>
      </c>
      <c r="I89" s="3" t="s">
        <v>54</v>
      </c>
      <c r="J89" s="3" t="s">
        <v>168</v>
      </c>
      <c r="K89" s="3">
        <v>1</v>
      </c>
      <c r="L89" s="9" t="str">
        <f t="shared" si="1"/>
        <v>ANGGUN FITROH PAUZIAH</v>
      </c>
      <c r="M89" s="32" t="s">
        <v>463</v>
      </c>
      <c r="N89" s="32"/>
      <c r="O89" s="32">
        <v>0</v>
      </c>
      <c r="P89" s="17" t="s">
        <v>385</v>
      </c>
      <c r="Q89" s="14" t="s">
        <v>377</v>
      </c>
      <c r="R89" s="20" t="s">
        <v>373</v>
      </c>
      <c r="S89" s="12">
        <v>0</v>
      </c>
    </row>
    <row r="90" spans="1:19" x14ac:dyDescent="0.35">
      <c r="A90" s="21" t="s">
        <v>323</v>
      </c>
      <c r="B90" s="1" t="s">
        <v>175</v>
      </c>
      <c r="C90" s="2">
        <v>28280</v>
      </c>
      <c r="D90" s="2">
        <v>42179</v>
      </c>
      <c r="E90" s="3" t="s">
        <v>25</v>
      </c>
      <c r="F90" s="3" t="s">
        <v>239</v>
      </c>
      <c r="G90" s="3" t="s">
        <v>49</v>
      </c>
      <c r="H90" s="1" t="s">
        <v>167</v>
      </c>
      <c r="I90" s="3" t="s">
        <v>54</v>
      </c>
      <c r="J90" s="3" t="s">
        <v>168</v>
      </c>
      <c r="K90" s="3">
        <v>1</v>
      </c>
      <c r="L90" s="9" t="str">
        <f t="shared" si="1"/>
        <v>PUJI NURJAYANTI</v>
      </c>
      <c r="M90" s="32" t="s">
        <v>464</v>
      </c>
      <c r="N90" s="32"/>
      <c r="O90" s="32">
        <v>0</v>
      </c>
      <c r="P90" s="17" t="s">
        <v>385</v>
      </c>
      <c r="Q90" s="14" t="s">
        <v>377</v>
      </c>
      <c r="R90" s="20" t="s">
        <v>373</v>
      </c>
      <c r="S90" s="12">
        <v>0</v>
      </c>
    </row>
    <row r="91" spans="1:19" x14ac:dyDescent="0.35">
      <c r="A91" s="21" t="s">
        <v>324</v>
      </c>
      <c r="B91" s="1" t="s">
        <v>178</v>
      </c>
      <c r="C91" s="2">
        <v>34812</v>
      </c>
      <c r="D91" s="2">
        <v>43164</v>
      </c>
      <c r="E91" s="3" t="s">
        <v>179</v>
      </c>
      <c r="F91" s="3" t="s">
        <v>239</v>
      </c>
      <c r="G91" s="3" t="s">
        <v>49</v>
      </c>
      <c r="H91" s="1" t="s">
        <v>167</v>
      </c>
      <c r="I91" s="3" t="s">
        <v>54</v>
      </c>
      <c r="J91" s="3" t="s">
        <v>168</v>
      </c>
      <c r="K91" s="3">
        <v>1</v>
      </c>
      <c r="L91" s="9" t="str">
        <f t="shared" si="1"/>
        <v>ATIKA HARTARI</v>
      </c>
      <c r="M91" s="32" t="s">
        <v>465</v>
      </c>
      <c r="N91" s="32"/>
      <c r="O91" s="32">
        <v>0</v>
      </c>
      <c r="P91" s="17" t="s">
        <v>385</v>
      </c>
      <c r="Q91" s="14" t="s">
        <v>377</v>
      </c>
      <c r="R91" s="20" t="s">
        <v>373</v>
      </c>
      <c r="S91" s="12">
        <v>0</v>
      </c>
    </row>
    <row r="92" spans="1:19" x14ac:dyDescent="0.35">
      <c r="A92" s="21" t="s">
        <v>325</v>
      </c>
      <c r="B92" s="1" t="s">
        <v>182</v>
      </c>
      <c r="C92" s="2">
        <v>31831</v>
      </c>
      <c r="D92" s="2">
        <v>41918</v>
      </c>
      <c r="E92" s="3" t="s">
        <v>60</v>
      </c>
      <c r="F92" s="3" t="s">
        <v>239</v>
      </c>
      <c r="G92" s="3" t="s">
        <v>14</v>
      </c>
      <c r="H92" s="1" t="s">
        <v>167</v>
      </c>
      <c r="I92" s="3" t="s">
        <v>54</v>
      </c>
      <c r="J92" s="3" t="s">
        <v>168</v>
      </c>
      <c r="K92" s="3">
        <v>1</v>
      </c>
      <c r="L92" s="9" t="str">
        <f t="shared" si="1"/>
        <v>ADHYPUTRA KRAMESYWARA</v>
      </c>
      <c r="M92" s="32" t="s">
        <v>476</v>
      </c>
      <c r="N92" s="32"/>
      <c r="O92" s="32">
        <v>0</v>
      </c>
      <c r="P92" s="17" t="s">
        <v>373</v>
      </c>
      <c r="Q92" s="12">
        <v>0</v>
      </c>
      <c r="R92" s="20" t="s">
        <v>372</v>
      </c>
      <c r="S92" s="14" t="s">
        <v>356</v>
      </c>
    </row>
    <row r="93" spans="1:19" x14ac:dyDescent="0.35">
      <c r="A93" s="21" t="s">
        <v>326</v>
      </c>
      <c r="B93" s="1" t="s">
        <v>183</v>
      </c>
      <c r="C93" s="2">
        <v>32634</v>
      </c>
      <c r="D93" s="2">
        <v>42163</v>
      </c>
      <c r="E93" s="3" t="s">
        <v>25</v>
      </c>
      <c r="F93" s="3" t="s">
        <v>239</v>
      </c>
      <c r="G93" s="3" t="s">
        <v>49</v>
      </c>
      <c r="H93" s="1" t="s">
        <v>167</v>
      </c>
      <c r="I93" s="3" t="s">
        <v>54</v>
      </c>
      <c r="J93" s="3" t="s">
        <v>168</v>
      </c>
      <c r="K93" s="3">
        <v>1</v>
      </c>
      <c r="L93" s="9" t="str">
        <f t="shared" si="1"/>
        <v>FITRI ARMAYANTI</v>
      </c>
      <c r="M93" s="32" t="s">
        <v>466</v>
      </c>
      <c r="N93" s="32"/>
      <c r="O93" s="32">
        <v>0</v>
      </c>
      <c r="P93" s="17" t="s">
        <v>385</v>
      </c>
      <c r="Q93" s="14" t="s">
        <v>377</v>
      </c>
      <c r="R93" s="20" t="s">
        <v>373</v>
      </c>
      <c r="S93" s="12">
        <v>0</v>
      </c>
    </row>
    <row r="94" spans="1:19" x14ac:dyDescent="0.35">
      <c r="A94" s="21" t="s">
        <v>327</v>
      </c>
      <c r="B94" s="1" t="s">
        <v>184</v>
      </c>
      <c r="C94" s="2">
        <v>28519</v>
      </c>
      <c r="D94" s="2">
        <v>42310</v>
      </c>
      <c r="E94" s="3" t="s">
        <v>185</v>
      </c>
      <c r="F94" s="3" t="s">
        <v>239</v>
      </c>
      <c r="G94" s="3" t="s">
        <v>47</v>
      </c>
      <c r="H94" s="1" t="s">
        <v>167</v>
      </c>
      <c r="I94" s="3" t="s">
        <v>54</v>
      </c>
      <c r="J94" s="3" t="s">
        <v>168</v>
      </c>
      <c r="K94" s="3">
        <v>1</v>
      </c>
      <c r="L94" s="9" t="str">
        <f t="shared" si="1"/>
        <v>WUNAY NAYA WUNDYA</v>
      </c>
      <c r="M94" s="3" t="s">
        <v>467</v>
      </c>
      <c r="O94" s="32">
        <v>0</v>
      </c>
      <c r="P94" s="20" t="s">
        <v>372</v>
      </c>
      <c r="Q94" s="14" t="s">
        <v>356</v>
      </c>
      <c r="R94" s="14" t="s">
        <v>356</v>
      </c>
      <c r="S94" s="17" t="s">
        <v>355</v>
      </c>
    </row>
    <row r="95" spans="1:19" x14ac:dyDescent="0.35">
      <c r="A95" s="21" t="s">
        <v>328</v>
      </c>
      <c r="B95" s="1" t="s">
        <v>169</v>
      </c>
      <c r="C95" s="2">
        <v>31704</v>
      </c>
      <c r="D95" s="2">
        <v>44256</v>
      </c>
      <c r="E95" s="3" t="s">
        <v>130</v>
      </c>
      <c r="F95" s="3" t="s">
        <v>239</v>
      </c>
      <c r="G95" s="3" t="s">
        <v>49</v>
      </c>
      <c r="H95" s="1" t="s">
        <v>167</v>
      </c>
      <c r="I95" s="3" t="s">
        <v>170</v>
      </c>
      <c r="J95" s="3" t="s">
        <v>168</v>
      </c>
      <c r="K95" s="3">
        <v>1</v>
      </c>
      <c r="L95" s="9" t="str">
        <f t="shared" si="1"/>
        <v>RURIE OKTARINI</v>
      </c>
      <c r="M95" s="32"/>
      <c r="N95" s="32"/>
      <c r="O95" s="32">
        <v>0</v>
      </c>
      <c r="P95" s="17" t="s">
        <v>385</v>
      </c>
      <c r="Q95" s="14" t="s">
        <v>377</v>
      </c>
      <c r="R95" s="15" t="s">
        <v>373</v>
      </c>
      <c r="S95" s="12">
        <v>0</v>
      </c>
    </row>
    <row r="96" spans="1:19" x14ac:dyDescent="0.35">
      <c r="A96" s="21" t="s">
        <v>329</v>
      </c>
      <c r="B96" s="1" t="s">
        <v>206</v>
      </c>
      <c r="C96" s="2">
        <v>34906</v>
      </c>
      <c r="D96" s="2">
        <v>44858</v>
      </c>
      <c r="E96" s="3" t="s">
        <v>159</v>
      </c>
      <c r="F96" s="3" t="s">
        <v>207</v>
      </c>
      <c r="G96" s="3" t="s">
        <v>49</v>
      </c>
      <c r="H96" s="1" t="s">
        <v>188</v>
      </c>
      <c r="I96" s="3" t="s">
        <v>54</v>
      </c>
      <c r="J96" s="3" t="s">
        <v>189</v>
      </c>
      <c r="K96" s="3">
        <v>1</v>
      </c>
      <c r="L96" s="9" t="str">
        <f t="shared" si="1"/>
        <v>ARIEL SHARON</v>
      </c>
      <c r="M96" s="32" t="s">
        <v>468</v>
      </c>
      <c r="N96" s="32"/>
      <c r="O96" s="32">
        <v>0</v>
      </c>
      <c r="P96" s="17" t="s">
        <v>386</v>
      </c>
      <c r="Q96" s="12">
        <v>0</v>
      </c>
      <c r="R96" s="14" t="s">
        <v>356</v>
      </c>
      <c r="S96" s="12">
        <v>0</v>
      </c>
    </row>
    <row r="97" spans="1:19" x14ac:dyDescent="0.35">
      <c r="A97" s="21" t="s">
        <v>330</v>
      </c>
      <c r="B97" s="1" t="s">
        <v>226</v>
      </c>
      <c r="C97" s="2">
        <v>34222</v>
      </c>
      <c r="D97" s="2">
        <v>43297</v>
      </c>
      <c r="E97" s="3" t="s">
        <v>227</v>
      </c>
      <c r="F97" s="3" t="s">
        <v>207</v>
      </c>
      <c r="G97" s="3" t="s">
        <v>49</v>
      </c>
      <c r="H97" s="1" t="s">
        <v>188</v>
      </c>
      <c r="I97" s="3" t="s">
        <v>54</v>
      </c>
      <c r="J97" s="3" t="s">
        <v>189</v>
      </c>
      <c r="K97" s="3">
        <v>1</v>
      </c>
      <c r="L97" s="9" t="str">
        <f t="shared" si="1"/>
        <v>ERISKA RATNA ADELIA</v>
      </c>
      <c r="M97" s="32" t="s">
        <v>469</v>
      </c>
      <c r="N97" s="32"/>
      <c r="O97" s="32">
        <v>0</v>
      </c>
      <c r="P97" s="17" t="s">
        <v>386</v>
      </c>
      <c r="Q97" s="12">
        <v>0</v>
      </c>
      <c r="R97" s="14" t="s">
        <v>356</v>
      </c>
      <c r="S97" s="12">
        <v>0</v>
      </c>
    </row>
    <row r="98" spans="1:19" x14ac:dyDescent="0.35">
      <c r="A98" s="11">
        <v>118000043</v>
      </c>
      <c r="B98" s="1" t="s">
        <v>234</v>
      </c>
      <c r="C98" s="2">
        <v>27496</v>
      </c>
      <c r="D98" s="2">
        <v>43290</v>
      </c>
      <c r="E98" s="3" t="s">
        <v>235</v>
      </c>
      <c r="F98" s="3" t="s">
        <v>207</v>
      </c>
      <c r="G98" s="3" t="s">
        <v>47</v>
      </c>
      <c r="H98" s="1" t="s">
        <v>188</v>
      </c>
      <c r="I98" s="3" t="s">
        <v>54</v>
      </c>
      <c r="J98" s="3" t="s">
        <v>189</v>
      </c>
      <c r="K98" s="3">
        <v>1</v>
      </c>
      <c r="L98" s="9" t="str">
        <f t="shared" si="1"/>
        <v>BAYU BAGASKORO</v>
      </c>
      <c r="M98" s="9" t="s">
        <v>470</v>
      </c>
      <c r="N98" s="9"/>
      <c r="O98" s="32">
        <v>0</v>
      </c>
      <c r="P98" s="14" t="s">
        <v>356</v>
      </c>
      <c r="Q98" s="12">
        <v>0</v>
      </c>
      <c r="R98" s="17" t="s">
        <v>355</v>
      </c>
      <c r="S98" s="12" t="s">
        <v>367</v>
      </c>
    </row>
    <row r="99" spans="1:19" x14ac:dyDescent="0.35">
      <c r="A99" s="21" t="s">
        <v>331</v>
      </c>
      <c r="B99" s="1" t="s">
        <v>218</v>
      </c>
      <c r="C99" s="2">
        <v>31916</v>
      </c>
      <c r="D99" s="2">
        <v>44914</v>
      </c>
      <c r="E99" s="3" t="s">
        <v>219</v>
      </c>
      <c r="F99" s="3" t="s">
        <v>220</v>
      </c>
      <c r="G99" s="3" t="s">
        <v>14</v>
      </c>
      <c r="H99" s="1" t="s">
        <v>188</v>
      </c>
      <c r="I99" s="3" t="s">
        <v>54</v>
      </c>
      <c r="J99" s="3" t="s">
        <v>189</v>
      </c>
      <c r="K99" s="3">
        <v>1</v>
      </c>
      <c r="L99" s="9" t="str">
        <f t="shared" si="1"/>
        <v>DUDI RAMDANI</v>
      </c>
      <c r="M99" s="33" t="s">
        <v>471</v>
      </c>
      <c r="N99" s="33" t="s">
        <v>479</v>
      </c>
      <c r="O99" s="32">
        <v>0</v>
      </c>
      <c r="P99" s="17" t="s">
        <v>387</v>
      </c>
      <c r="Q99" s="12">
        <v>0</v>
      </c>
      <c r="R99" s="14" t="s">
        <v>356</v>
      </c>
      <c r="S99" s="14">
        <v>0</v>
      </c>
    </row>
    <row r="100" spans="1:19" x14ac:dyDescent="0.35">
      <c r="A100" s="11">
        <v>117000014</v>
      </c>
      <c r="B100" s="1" t="s">
        <v>223</v>
      </c>
      <c r="C100" s="2">
        <v>29210</v>
      </c>
      <c r="D100" s="2">
        <v>42891</v>
      </c>
      <c r="E100" s="3" t="s">
        <v>224</v>
      </c>
      <c r="F100" s="3" t="s">
        <v>220</v>
      </c>
      <c r="G100" s="3" t="s">
        <v>47</v>
      </c>
      <c r="H100" s="1" t="s">
        <v>188</v>
      </c>
      <c r="I100" s="3" t="s">
        <v>54</v>
      </c>
      <c r="J100" s="3" t="s">
        <v>189</v>
      </c>
      <c r="K100" s="3">
        <v>1</v>
      </c>
      <c r="L100" s="9" t="str">
        <f t="shared" si="1"/>
        <v>NUGROHO</v>
      </c>
      <c r="M100" s="35" t="s">
        <v>480</v>
      </c>
      <c r="N100" s="35" t="s">
        <v>481</v>
      </c>
      <c r="O100" s="32">
        <v>0</v>
      </c>
      <c r="P100" s="14" t="s">
        <v>356</v>
      </c>
      <c r="Q100" s="12">
        <v>0</v>
      </c>
      <c r="R100" s="17" t="s">
        <v>355</v>
      </c>
      <c r="S100" s="12" t="s">
        <v>367</v>
      </c>
    </row>
    <row r="101" spans="1:19" x14ac:dyDescent="0.35">
      <c r="A101" s="21" t="s">
        <v>332</v>
      </c>
      <c r="B101" s="1" t="s">
        <v>118</v>
      </c>
      <c r="C101" s="2">
        <v>29412</v>
      </c>
      <c r="D101" s="2">
        <v>39679</v>
      </c>
      <c r="E101" s="3" t="s">
        <v>119</v>
      </c>
      <c r="F101" s="3" t="s">
        <v>120</v>
      </c>
      <c r="G101" s="3" t="s">
        <v>73</v>
      </c>
      <c r="H101" s="1" t="s">
        <v>113</v>
      </c>
      <c r="I101" s="3" t="s">
        <v>54</v>
      </c>
      <c r="J101" s="3" t="s">
        <v>114</v>
      </c>
      <c r="K101" s="3">
        <v>1</v>
      </c>
      <c r="L101" s="9" t="str">
        <f t="shared" si="1"/>
        <v>HUSEIN OEY</v>
      </c>
      <c r="M101" s="3" t="s">
        <v>482</v>
      </c>
      <c r="O101" s="32">
        <v>0</v>
      </c>
      <c r="P101" s="15" t="s">
        <v>366</v>
      </c>
      <c r="Q101" s="14" t="s">
        <v>356</v>
      </c>
      <c r="R101" s="14" t="s">
        <v>356</v>
      </c>
      <c r="S101" s="17" t="s">
        <v>355</v>
      </c>
    </row>
    <row r="102" spans="1:19" x14ac:dyDescent="0.35">
      <c r="A102" s="21" t="s">
        <v>333</v>
      </c>
      <c r="B102" s="1" t="s">
        <v>122</v>
      </c>
      <c r="C102" s="2">
        <v>34317</v>
      </c>
      <c r="D102" s="2">
        <v>44564</v>
      </c>
      <c r="E102" s="3" t="s">
        <v>123</v>
      </c>
      <c r="F102" s="3" t="s">
        <v>120</v>
      </c>
      <c r="G102" s="3" t="s">
        <v>49</v>
      </c>
      <c r="H102" s="1" t="s">
        <v>113</v>
      </c>
      <c r="I102" s="3" t="s">
        <v>54</v>
      </c>
      <c r="J102" s="3" t="s">
        <v>114</v>
      </c>
      <c r="K102" s="3">
        <v>1</v>
      </c>
      <c r="L102" s="9" t="str">
        <f t="shared" si="1"/>
        <v>ALVIN SENNA</v>
      </c>
      <c r="M102" s="32"/>
      <c r="N102" s="32"/>
      <c r="O102" s="32">
        <v>0</v>
      </c>
      <c r="P102" s="17" t="s">
        <v>388</v>
      </c>
      <c r="Q102" s="14" t="s">
        <v>378</v>
      </c>
      <c r="R102" s="15" t="s">
        <v>376</v>
      </c>
      <c r="S102" s="14" t="s">
        <v>369</v>
      </c>
    </row>
    <row r="103" spans="1:19" x14ac:dyDescent="0.35">
      <c r="A103" s="21" t="s">
        <v>334</v>
      </c>
      <c r="B103" s="1" t="s">
        <v>124</v>
      </c>
      <c r="C103" s="2">
        <v>31232</v>
      </c>
      <c r="D103" s="2">
        <v>44942</v>
      </c>
      <c r="E103" s="3" t="s">
        <v>125</v>
      </c>
      <c r="F103" s="3" t="s">
        <v>120</v>
      </c>
      <c r="G103" s="3" t="s">
        <v>14</v>
      </c>
      <c r="H103" s="1" t="s">
        <v>113</v>
      </c>
      <c r="I103" s="3" t="s">
        <v>54</v>
      </c>
      <c r="J103" s="3" t="s">
        <v>114</v>
      </c>
      <c r="K103" s="3">
        <v>1</v>
      </c>
      <c r="L103" s="9" t="str">
        <f t="shared" si="1"/>
        <v>ADE JUANDA</v>
      </c>
      <c r="M103" s="3" t="s">
        <v>483</v>
      </c>
      <c r="O103" s="32">
        <v>0</v>
      </c>
      <c r="P103" s="15" t="s">
        <v>376</v>
      </c>
      <c r="Q103" s="14" t="s">
        <v>369</v>
      </c>
      <c r="R103" s="15" t="s">
        <v>366</v>
      </c>
      <c r="S103" s="14" t="s">
        <v>356</v>
      </c>
    </row>
    <row r="104" spans="1:19" x14ac:dyDescent="0.35">
      <c r="A104" s="11">
        <v>115000082</v>
      </c>
      <c r="B104" s="1" t="s">
        <v>126</v>
      </c>
      <c r="C104" s="2">
        <v>30181</v>
      </c>
      <c r="D104" s="2">
        <v>42254</v>
      </c>
      <c r="E104" s="3" t="s">
        <v>119</v>
      </c>
      <c r="F104" s="3" t="s">
        <v>120</v>
      </c>
      <c r="G104" s="3" t="s">
        <v>73</v>
      </c>
      <c r="H104" s="1" t="s">
        <v>113</v>
      </c>
      <c r="I104" s="3" t="s">
        <v>54</v>
      </c>
      <c r="J104" s="3" t="s">
        <v>114</v>
      </c>
      <c r="K104" s="3">
        <v>1</v>
      </c>
      <c r="L104" s="9" t="str">
        <f t="shared" si="1"/>
        <v>AGUS SUHARTONO</v>
      </c>
      <c r="M104" s="3" t="s">
        <v>484</v>
      </c>
      <c r="O104" s="3">
        <v>0</v>
      </c>
      <c r="P104" s="15" t="s">
        <v>376</v>
      </c>
      <c r="Q104" s="12">
        <v>0</v>
      </c>
      <c r="R104" s="14" t="s">
        <v>356</v>
      </c>
      <c r="S104" s="12">
        <v>0</v>
      </c>
    </row>
    <row r="105" spans="1:19" x14ac:dyDescent="0.35">
      <c r="A105" s="21" t="s">
        <v>335</v>
      </c>
      <c r="B105" s="1" t="s">
        <v>136</v>
      </c>
      <c r="C105" s="2">
        <v>33982</v>
      </c>
      <c r="D105" s="2">
        <v>44767</v>
      </c>
      <c r="E105" s="3" t="s">
        <v>137</v>
      </c>
      <c r="F105" s="3" t="s">
        <v>120</v>
      </c>
      <c r="G105" s="3" t="s">
        <v>49</v>
      </c>
      <c r="H105" s="1" t="s">
        <v>113</v>
      </c>
      <c r="I105" s="3" t="s">
        <v>54</v>
      </c>
      <c r="J105" s="3" t="s">
        <v>114</v>
      </c>
      <c r="K105" s="3">
        <v>1</v>
      </c>
      <c r="L105" s="9" t="str">
        <f t="shared" si="1"/>
        <v>LEVANI DESTIARA</v>
      </c>
      <c r="M105" s="32" t="s">
        <v>485</v>
      </c>
      <c r="N105" s="32"/>
      <c r="O105" s="3">
        <v>0</v>
      </c>
      <c r="P105" s="17" t="s">
        <v>388</v>
      </c>
      <c r="Q105" s="14" t="s">
        <v>378</v>
      </c>
      <c r="R105" s="15" t="s">
        <v>376</v>
      </c>
      <c r="S105" s="14" t="s">
        <v>369</v>
      </c>
    </row>
    <row r="106" spans="1:19" x14ac:dyDescent="0.35">
      <c r="A106" s="21" t="s">
        <v>336</v>
      </c>
      <c r="B106" s="1" t="s">
        <v>138</v>
      </c>
      <c r="C106" s="2">
        <v>36632</v>
      </c>
      <c r="D106" s="2">
        <v>44795</v>
      </c>
      <c r="E106" s="3" t="s">
        <v>137</v>
      </c>
      <c r="F106" s="3" t="s">
        <v>120</v>
      </c>
      <c r="G106" s="3" t="s">
        <v>49</v>
      </c>
      <c r="H106" s="1" t="s">
        <v>113</v>
      </c>
      <c r="I106" s="3" t="s">
        <v>54</v>
      </c>
      <c r="J106" s="3" t="s">
        <v>114</v>
      </c>
      <c r="K106" s="3">
        <v>1</v>
      </c>
      <c r="L106" s="9" t="str">
        <f t="shared" si="1"/>
        <v>RATU HANA SRI INDRAGIRI</v>
      </c>
      <c r="M106" s="32" t="s">
        <v>486</v>
      </c>
      <c r="N106" s="32"/>
      <c r="O106" s="3">
        <v>0</v>
      </c>
      <c r="P106" s="17" t="s">
        <v>388</v>
      </c>
      <c r="Q106" s="14" t="s">
        <v>378</v>
      </c>
      <c r="R106" s="15" t="s">
        <v>376</v>
      </c>
      <c r="S106" s="14" t="s">
        <v>369</v>
      </c>
    </row>
    <row r="107" spans="1:19" x14ac:dyDescent="0.35">
      <c r="A107" s="11">
        <v>122000037</v>
      </c>
      <c r="B107" s="1" t="s">
        <v>139</v>
      </c>
      <c r="C107" s="2">
        <v>32709</v>
      </c>
      <c r="D107" s="2">
        <v>44879</v>
      </c>
      <c r="E107" s="3" t="s">
        <v>125</v>
      </c>
      <c r="F107" s="3" t="s">
        <v>120</v>
      </c>
      <c r="G107" s="3" t="s">
        <v>14</v>
      </c>
      <c r="H107" s="1" t="s">
        <v>113</v>
      </c>
      <c r="I107" s="3" t="s">
        <v>54</v>
      </c>
      <c r="J107" s="3" t="s">
        <v>114</v>
      </c>
      <c r="K107" s="3">
        <v>1</v>
      </c>
      <c r="L107" s="9" t="str">
        <f t="shared" si="1"/>
        <v>ILHAM PRASETYA</v>
      </c>
      <c r="M107" s="32" t="s">
        <v>487</v>
      </c>
      <c r="N107" s="33" t="s">
        <v>488</v>
      </c>
      <c r="O107" s="3">
        <v>0</v>
      </c>
      <c r="P107" s="17" t="s">
        <v>376</v>
      </c>
      <c r="Q107" s="14" t="s">
        <v>369</v>
      </c>
      <c r="R107" s="15" t="s">
        <v>366</v>
      </c>
      <c r="S107" s="14" t="s">
        <v>356</v>
      </c>
    </row>
    <row r="108" spans="1:19" x14ac:dyDescent="0.35">
      <c r="A108" s="21" t="s">
        <v>337</v>
      </c>
      <c r="B108" s="1" t="s">
        <v>140</v>
      </c>
      <c r="C108" s="2">
        <v>37257</v>
      </c>
      <c r="D108" s="2">
        <v>44935</v>
      </c>
      <c r="E108" s="3" t="s">
        <v>137</v>
      </c>
      <c r="F108" s="3" t="s">
        <v>120</v>
      </c>
      <c r="G108" s="3" t="s">
        <v>49</v>
      </c>
      <c r="H108" s="1" t="s">
        <v>113</v>
      </c>
      <c r="I108" s="3" t="s">
        <v>54</v>
      </c>
      <c r="J108" s="3" t="s">
        <v>114</v>
      </c>
      <c r="K108" s="3">
        <v>1</v>
      </c>
      <c r="L108" s="9" t="str">
        <f t="shared" si="1"/>
        <v>RISKA SAFITRI</v>
      </c>
      <c r="M108" s="32" t="s">
        <v>489</v>
      </c>
      <c r="N108" s="32"/>
      <c r="O108" s="3">
        <v>0</v>
      </c>
      <c r="P108" s="17" t="s">
        <v>388</v>
      </c>
      <c r="Q108" s="14" t="s">
        <v>378</v>
      </c>
      <c r="R108" s="15" t="s">
        <v>376</v>
      </c>
      <c r="S108" s="14" t="s">
        <v>369</v>
      </c>
    </row>
    <row r="109" spans="1:19" x14ac:dyDescent="0.35">
      <c r="A109" s="21" t="s">
        <v>338</v>
      </c>
      <c r="B109" s="1" t="s">
        <v>158</v>
      </c>
      <c r="C109" s="2">
        <v>32612</v>
      </c>
      <c r="D109" s="2">
        <v>43327</v>
      </c>
      <c r="E109" s="3" t="s">
        <v>159</v>
      </c>
      <c r="F109" s="3" t="s">
        <v>31</v>
      </c>
      <c r="G109" s="3" t="s">
        <v>49</v>
      </c>
      <c r="H109" s="1" t="s">
        <v>155</v>
      </c>
      <c r="I109" s="3" t="s">
        <v>31</v>
      </c>
      <c r="J109" s="3" t="s">
        <v>156</v>
      </c>
      <c r="K109" s="3">
        <v>1</v>
      </c>
      <c r="L109" s="9" t="str">
        <f t="shared" si="1"/>
        <v>PEDRO DA SILVA</v>
      </c>
      <c r="M109" s="32" t="s">
        <v>477</v>
      </c>
      <c r="N109" s="32"/>
      <c r="O109" s="3">
        <v>0</v>
      </c>
      <c r="P109" s="19" t="s">
        <v>384</v>
      </c>
      <c r="Q109" s="15" t="s">
        <v>374</v>
      </c>
      <c r="R109" s="15" t="s">
        <v>368</v>
      </c>
      <c r="S109" s="14" t="s">
        <v>356</v>
      </c>
    </row>
    <row r="110" spans="1:19" x14ac:dyDescent="0.35">
      <c r="A110" s="21" t="s">
        <v>339</v>
      </c>
      <c r="B110" s="1" t="s">
        <v>29</v>
      </c>
      <c r="C110" s="2">
        <v>25060</v>
      </c>
      <c r="D110" s="2">
        <v>41229</v>
      </c>
      <c r="E110" s="3" t="s">
        <v>30</v>
      </c>
      <c r="F110" s="3" t="s">
        <v>13</v>
      </c>
      <c r="G110" s="3" t="s">
        <v>23</v>
      </c>
      <c r="H110" s="1" t="s">
        <v>32</v>
      </c>
      <c r="I110" s="3" t="s">
        <v>16</v>
      </c>
      <c r="J110" s="3" t="s">
        <v>17</v>
      </c>
      <c r="K110" s="3">
        <v>1</v>
      </c>
      <c r="L110" s="9" t="str">
        <f t="shared" si="1"/>
        <v>AMULLOH</v>
      </c>
      <c r="M110" s="32"/>
      <c r="N110" s="32"/>
      <c r="O110" s="3">
        <v>0</v>
      </c>
      <c r="P110" s="17" t="s">
        <v>384</v>
      </c>
      <c r="Q110" s="12">
        <v>0</v>
      </c>
      <c r="R110" s="15" t="s">
        <v>374</v>
      </c>
      <c r="S110" s="12">
        <v>0</v>
      </c>
    </row>
    <row r="111" spans="1:19" x14ac:dyDescent="0.35">
      <c r="A111" s="21" t="s">
        <v>340</v>
      </c>
      <c r="B111" s="1" t="s">
        <v>33</v>
      </c>
      <c r="C111" s="2">
        <v>25020</v>
      </c>
      <c r="D111" s="2">
        <v>41229</v>
      </c>
      <c r="E111" s="3" t="s">
        <v>30</v>
      </c>
      <c r="F111" s="3" t="s">
        <v>13</v>
      </c>
      <c r="G111" s="3" t="s">
        <v>23</v>
      </c>
      <c r="H111" s="1" t="s">
        <v>32</v>
      </c>
      <c r="I111" s="3" t="s">
        <v>16</v>
      </c>
      <c r="J111" s="3" t="s">
        <v>17</v>
      </c>
      <c r="K111" s="3">
        <v>1</v>
      </c>
      <c r="L111" s="9" t="str">
        <f t="shared" si="1"/>
        <v>HIRMAN</v>
      </c>
      <c r="M111" s="32"/>
      <c r="N111" s="32"/>
      <c r="O111" s="3">
        <v>0</v>
      </c>
      <c r="P111" s="17" t="s">
        <v>384</v>
      </c>
      <c r="Q111" s="12">
        <v>0</v>
      </c>
      <c r="R111" s="15" t="s">
        <v>374</v>
      </c>
      <c r="S111" s="12">
        <v>0</v>
      </c>
    </row>
    <row r="112" spans="1:19" x14ac:dyDescent="0.35">
      <c r="A112" s="21" t="s">
        <v>341</v>
      </c>
      <c r="B112" s="1" t="s">
        <v>34</v>
      </c>
      <c r="C112" s="2">
        <v>29804</v>
      </c>
      <c r="D112" s="2">
        <v>41229</v>
      </c>
      <c r="E112" s="3" t="s">
        <v>30</v>
      </c>
      <c r="F112" s="3" t="s">
        <v>13</v>
      </c>
      <c r="G112" s="3" t="s">
        <v>23</v>
      </c>
      <c r="H112" s="1" t="s">
        <v>32</v>
      </c>
      <c r="I112" s="3" t="s">
        <v>16</v>
      </c>
      <c r="J112" s="3" t="s">
        <v>17</v>
      </c>
      <c r="K112" s="3">
        <v>1</v>
      </c>
      <c r="L112" s="9" t="str">
        <f t="shared" si="1"/>
        <v>BENI SETIAWAN</v>
      </c>
      <c r="M112" s="32" t="s">
        <v>478</v>
      </c>
      <c r="N112" s="32"/>
      <c r="O112" s="3">
        <v>0</v>
      </c>
      <c r="P112" s="17" t="s">
        <v>384</v>
      </c>
      <c r="Q112" s="12">
        <v>0</v>
      </c>
      <c r="R112" s="15" t="s">
        <v>374</v>
      </c>
      <c r="S112" s="12">
        <v>0</v>
      </c>
    </row>
    <row r="113" spans="1:19" x14ac:dyDescent="0.35">
      <c r="A113" s="21" t="s">
        <v>342</v>
      </c>
      <c r="B113" s="1" t="s">
        <v>35</v>
      </c>
      <c r="C113" s="2">
        <v>28496</v>
      </c>
      <c r="D113" s="2">
        <v>41229</v>
      </c>
      <c r="E113" s="3" t="s">
        <v>30</v>
      </c>
      <c r="F113" s="3" t="s">
        <v>13</v>
      </c>
      <c r="G113" s="3" t="s">
        <v>23</v>
      </c>
      <c r="H113" s="1" t="s">
        <v>32</v>
      </c>
      <c r="I113" s="3" t="s">
        <v>16</v>
      </c>
      <c r="J113" s="3" t="s">
        <v>17</v>
      </c>
      <c r="K113" s="3">
        <v>1</v>
      </c>
      <c r="L113" s="9" t="str">
        <f t="shared" si="1"/>
        <v>U ABDU SYAKIR</v>
      </c>
      <c r="M113" s="32"/>
      <c r="N113" s="32"/>
      <c r="O113" s="3">
        <v>0</v>
      </c>
      <c r="P113" s="17" t="s">
        <v>384</v>
      </c>
      <c r="Q113" s="12">
        <v>0</v>
      </c>
      <c r="R113" s="15" t="s">
        <v>374</v>
      </c>
      <c r="S113" s="12">
        <v>0</v>
      </c>
    </row>
    <row r="114" spans="1:19" x14ac:dyDescent="0.35">
      <c r="A114" s="21" t="s">
        <v>343</v>
      </c>
      <c r="B114" s="1" t="s">
        <v>36</v>
      </c>
      <c r="C114" s="2">
        <v>29907</v>
      </c>
      <c r="D114" s="2">
        <v>41229</v>
      </c>
      <c r="E114" s="3" t="s">
        <v>30</v>
      </c>
      <c r="F114" s="3" t="s">
        <v>13</v>
      </c>
      <c r="G114" s="3" t="s">
        <v>23</v>
      </c>
      <c r="H114" s="1" t="s">
        <v>32</v>
      </c>
      <c r="I114" s="3" t="s">
        <v>16</v>
      </c>
      <c r="J114" s="3" t="s">
        <v>17</v>
      </c>
      <c r="K114" s="3">
        <v>1</v>
      </c>
      <c r="L114" s="9" t="str">
        <f t="shared" si="1"/>
        <v>LUKMAN HAKIM</v>
      </c>
      <c r="M114" s="32"/>
      <c r="N114" s="32"/>
      <c r="O114" s="3">
        <v>0</v>
      </c>
      <c r="P114" s="17" t="s">
        <v>384</v>
      </c>
      <c r="Q114" s="12">
        <v>0</v>
      </c>
      <c r="R114" s="15" t="s">
        <v>374</v>
      </c>
      <c r="S114" s="12">
        <v>0</v>
      </c>
    </row>
    <row r="115" spans="1:19" x14ac:dyDescent="0.35">
      <c r="A115" s="21" t="s">
        <v>344</v>
      </c>
      <c r="B115" s="1" t="s">
        <v>37</v>
      </c>
      <c r="C115" s="2">
        <v>32918</v>
      </c>
      <c r="D115" s="2">
        <v>41229</v>
      </c>
      <c r="E115" s="3" t="s">
        <v>30</v>
      </c>
      <c r="F115" s="3" t="s">
        <v>13</v>
      </c>
      <c r="G115" s="3" t="s">
        <v>23</v>
      </c>
      <c r="H115" s="1" t="s">
        <v>32</v>
      </c>
      <c r="I115" s="3" t="s">
        <v>16</v>
      </c>
      <c r="J115" s="3" t="s">
        <v>17</v>
      </c>
      <c r="K115" s="3">
        <v>1</v>
      </c>
      <c r="L115" s="9" t="str">
        <f t="shared" si="1"/>
        <v>ARSIMIN</v>
      </c>
      <c r="M115" s="32"/>
      <c r="N115" s="32"/>
      <c r="O115" s="3">
        <v>0</v>
      </c>
      <c r="P115" s="17" t="s">
        <v>384</v>
      </c>
      <c r="Q115" s="12">
        <v>0</v>
      </c>
      <c r="R115" s="15" t="s">
        <v>374</v>
      </c>
      <c r="S115" s="12">
        <v>0</v>
      </c>
    </row>
    <row r="116" spans="1:19" x14ac:dyDescent="0.35">
      <c r="A116" s="21" t="s">
        <v>345</v>
      </c>
      <c r="B116" s="1" t="s">
        <v>38</v>
      </c>
      <c r="C116" s="2">
        <v>30864</v>
      </c>
      <c r="D116" s="2">
        <v>41229</v>
      </c>
      <c r="E116" s="3" t="s">
        <v>30</v>
      </c>
      <c r="F116" s="3" t="s">
        <v>13</v>
      </c>
      <c r="G116" s="3" t="s">
        <v>23</v>
      </c>
      <c r="H116" s="1" t="s">
        <v>32</v>
      </c>
      <c r="I116" s="3" t="s">
        <v>16</v>
      </c>
      <c r="J116" s="3" t="s">
        <v>17</v>
      </c>
      <c r="K116" s="3">
        <v>1</v>
      </c>
      <c r="L116" s="9" t="str">
        <f t="shared" si="1"/>
        <v>SURYAMAN</v>
      </c>
      <c r="M116" s="32"/>
      <c r="N116" s="32"/>
      <c r="O116" s="3">
        <v>0</v>
      </c>
      <c r="P116" s="17" t="s">
        <v>384</v>
      </c>
      <c r="Q116" s="12">
        <v>0</v>
      </c>
      <c r="R116" s="15" t="s">
        <v>374</v>
      </c>
      <c r="S116" s="12">
        <v>0</v>
      </c>
    </row>
    <row r="117" spans="1:19" x14ac:dyDescent="0.35">
      <c r="A117" s="21" t="s">
        <v>346</v>
      </c>
      <c r="B117" s="1" t="s">
        <v>39</v>
      </c>
      <c r="C117" s="2">
        <v>28216</v>
      </c>
      <c r="D117" s="2">
        <v>41229</v>
      </c>
      <c r="E117" s="3" t="s">
        <v>30</v>
      </c>
      <c r="F117" s="3" t="s">
        <v>13</v>
      </c>
      <c r="G117" s="3" t="s">
        <v>23</v>
      </c>
      <c r="H117" s="1" t="s">
        <v>32</v>
      </c>
      <c r="I117" s="3" t="s">
        <v>16</v>
      </c>
      <c r="J117" s="3" t="s">
        <v>17</v>
      </c>
      <c r="K117" s="3">
        <v>1</v>
      </c>
      <c r="L117" s="9" t="str">
        <f t="shared" si="1"/>
        <v>UJANG RAHMAT</v>
      </c>
      <c r="M117" s="32"/>
      <c r="N117" s="32"/>
      <c r="O117" s="3">
        <v>0</v>
      </c>
      <c r="P117" s="17" t="s">
        <v>384</v>
      </c>
      <c r="Q117" s="12">
        <v>0</v>
      </c>
      <c r="R117" s="15" t="s">
        <v>374</v>
      </c>
      <c r="S117" s="12">
        <v>0</v>
      </c>
    </row>
    <row r="118" spans="1:19" x14ac:dyDescent="0.35">
      <c r="A118" s="21" t="s">
        <v>347</v>
      </c>
      <c r="B118" s="1" t="s">
        <v>153</v>
      </c>
      <c r="C118" s="2">
        <v>29657</v>
      </c>
      <c r="D118" s="2">
        <v>44949</v>
      </c>
      <c r="E118" s="3" t="s">
        <v>154</v>
      </c>
      <c r="F118" s="3" t="s">
        <v>31</v>
      </c>
      <c r="G118" s="3" t="s">
        <v>23</v>
      </c>
      <c r="H118" s="1" t="s">
        <v>155</v>
      </c>
      <c r="I118" s="3" t="s">
        <v>31</v>
      </c>
      <c r="J118" s="3" t="s">
        <v>156</v>
      </c>
      <c r="K118" s="3">
        <v>1</v>
      </c>
      <c r="L118" s="9" t="str">
        <f t="shared" si="1"/>
        <v>MANSYUR SYAH</v>
      </c>
      <c r="M118" s="32"/>
      <c r="N118" s="32"/>
      <c r="O118" s="3">
        <v>0</v>
      </c>
      <c r="P118" s="17" t="s">
        <v>384</v>
      </c>
      <c r="Q118" s="12">
        <v>0</v>
      </c>
      <c r="R118" s="15" t="s">
        <v>374</v>
      </c>
      <c r="S118" s="12">
        <v>0</v>
      </c>
    </row>
    <row r="119" spans="1:19" x14ac:dyDescent="0.35">
      <c r="A119" s="21" t="s">
        <v>348</v>
      </c>
      <c r="B119" s="1" t="s">
        <v>157</v>
      </c>
      <c r="C119" s="2">
        <v>35530</v>
      </c>
      <c r="D119" s="2">
        <v>44957</v>
      </c>
      <c r="E119" s="3" t="s">
        <v>154</v>
      </c>
      <c r="F119" s="3" t="s">
        <v>31</v>
      </c>
      <c r="G119" s="3" t="s">
        <v>23</v>
      </c>
      <c r="H119" s="1" t="s">
        <v>155</v>
      </c>
      <c r="I119" s="3" t="s">
        <v>31</v>
      </c>
      <c r="J119" s="3" t="s">
        <v>156</v>
      </c>
      <c r="K119" s="3">
        <v>1</v>
      </c>
      <c r="L119" s="9" t="str">
        <f t="shared" si="1"/>
        <v>PAULITU TAVARES</v>
      </c>
      <c r="M119" s="32"/>
      <c r="N119" s="32"/>
      <c r="O119" s="3">
        <v>0</v>
      </c>
      <c r="P119" s="17" t="s">
        <v>382</v>
      </c>
      <c r="Q119" s="14" t="s">
        <v>379</v>
      </c>
      <c r="R119" s="15" t="s">
        <v>374</v>
      </c>
      <c r="S119" s="14" t="s">
        <v>368</v>
      </c>
    </row>
    <row r="120" spans="1:19" x14ac:dyDescent="0.35">
      <c r="A120" s="21" t="s">
        <v>349</v>
      </c>
      <c r="B120" s="1" t="s">
        <v>162</v>
      </c>
      <c r="C120" s="2">
        <v>33373</v>
      </c>
      <c r="D120" s="2">
        <v>44595</v>
      </c>
      <c r="E120" s="3" t="s">
        <v>163</v>
      </c>
      <c r="F120" s="3" t="s">
        <v>31</v>
      </c>
      <c r="G120" s="3" t="s">
        <v>23</v>
      </c>
      <c r="H120" s="1" t="s">
        <v>155</v>
      </c>
      <c r="I120" s="3" t="s">
        <v>31</v>
      </c>
      <c r="J120" s="3" t="s">
        <v>156</v>
      </c>
      <c r="K120" s="3">
        <v>1</v>
      </c>
      <c r="L120" s="9" t="str">
        <f t="shared" si="1"/>
        <v>HERYAJUN PRASETYADI</v>
      </c>
      <c r="M120" s="32"/>
      <c r="N120" s="32"/>
      <c r="O120" s="3">
        <v>0</v>
      </c>
      <c r="P120" s="17" t="s">
        <v>382</v>
      </c>
      <c r="Q120" s="14" t="s">
        <v>379</v>
      </c>
      <c r="R120" s="15" t="s">
        <v>374</v>
      </c>
      <c r="S120" s="14" t="s">
        <v>368</v>
      </c>
    </row>
    <row r="121" spans="1:19" x14ac:dyDescent="0.35">
      <c r="A121" s="21" t="s">
        <v>350</v>
      </c>
      <c r="B121" s="1" t="s">
        <v>164</v>
      </c>
      <c r="C121" s="2">
        <v>35008</v>
      </c>
      <c r="D121" s="2">
        <v>44595</v>
      </c>
      <c r="E121" s="3" t="s">
        <v>163</v>
      </c>
      <c r="F121" s="3" t="s">
        <v>31</v>
      </c>
      <c r="G121" s="3" t="s">
        <v>23</v>
      </c>
      <c r="H121" s="1" t="s">
        <v>155</v>
      </c>
      <c r="I121" s="3" t="s">
        <v>31</v>
      </c>
      <c r="J121" s="3" t="s">
        <v>156</v>
      </c>
      <c r="K121" s="3">
        <v>1</v>
      </c>
      <c r="L121" s="9" t="str">
        <f t="shared" si="1"/>
        <v>RIDHO AJI PRAYOGA</v>
      </c>
      <c r="M121" s="32"/>
      <c r="N121" s="32"/>
      <c r="O121" s="3">
        <v>0</v>
      </c>
      <c r="P121" s="17" t="s">
        <v>382</v>
      </c>
      <c r="Q121" s="14" t="s">
        <v>379</v>
      </c>
      <c r="R121" s="15" t="s">
        <v>374</v>
      </c>
      <c r="S121" s="14" t="s">
        <v>368</v>
      </c>
    </row>
    <row r="122" spans="1:19" x14ac:dyDescent="0.35">
      <c r="A122" s="21" t="s">
        <v>351</v>
      </c>
      <c r="B122" s="1" t="s">
        <v>165</v>
      </c>
      <c r="C122" s="2">
        <v>35696</v>
      </c>
      <c r="D122" s="2">
        <v>44606</v>
      </c>
      <c r="E122" s="3" t="s">
        <v>163</v>
      </c>
      <c r="F122" s="3" t="s">
        <v>31</v>
      </c>
      <c r="G122" s="3" t="s">
        <v>23</v>
      </c>
      <c r="H122" s="1" t="s">
        <v>155</v>
      </c>
      <c r="I122" s="3" t="s">
        <v>31</v>
      </c>
      <c r="J122" s="3" t="s">
        <v>156</v>
      </c>
      <c r="K122" s="3">
        <v>1</v>
      </c>
      <c r="L122" s="9" t="str">
        <f t="shared" si="1"/>
        <v>ALAN ADI GUNAWAN</v>
      </c>
      <c r="M122" s="32"/>
      <c r="N122" s="32"/>
      <c r="O122" s="3">
        <v>0</v>
      </c>
      <c r="P122" s="17" t="s">
        <v>382</v>
      </c>
      <c r="Q122" s="14" t="s">
        <v>379</v>
      </c>
      <c r="R122" s="15" t="s">
        <v>374</v>
      </c>
      <c r="S122" s="14" t="s">
        <v>368</v>
      </c>
    </row>
    <row r="123" spans="1:19" x14ac:dyDescent="0.35">
      <c r="A123" s="21" t="s">
        <v>352</v>
      </c>
      <c r="B123" s="1" t="s">
        <v>129</v>
      </c>
      <c r="C123" s="2">
        <v>32792</v>
      </c>
      <c r="D123" s="2">
        <v>44294</v>
      </c>
      <c r="E123" s="3" t="s">
        <v>130</v>
      </c>
      <c r="F123" s="3" t="s">
        <v>131</v>
      </c>
      <c r="G123" s="3" t="s">
        <v>49</v>
      </c>
      <c r="H123" s="1" t="s">
        <v>113</v>
      </c>
      <c r="I123" s="3" t="s">
        <v>131</v>
      </c>
      <c r="J123" s="3" t="s">
        <v>114</v>
      </c>
      <c r="K123" s="3">
        <v>1</v>
      </c>
      <c r="L123" s="9" t="str">
        <f t="shared" si="1"/>
        <v>MIFTAHUR RAHMA</v>
      </c>
      <c r="M123" s="32" t="s">
        <v>490</v>
      </c>
      <c r="N123" s="32"/>
      <c r="O123" s="3">
        <v>0</v>
      </c>
      <c r="P123" s="17" t="s">
        <v>382</v>
      </c>
      <c r="Q123" s="15" t="s">
        <v>374</v>
      </c>
      <c r="R123" s="15" t="s">
        <v>368</v>
      </c>
      <c r="S123" s="14" t="s">
        <v>356</v>
      </c>
    </row>
    <row r="124" spans="1:19" x14ac:dyDescent="0.35">
      <c r="A124" s="21" t="s">
        <v>353</v>
      </c>
      <c r="B124" s="1" t="s">
        <v>152</v>
      </c>
      <c r="C124" s="2">
        <v>29313</v>
      </c>
      <c r="D124" s="2">
        <v>44652</v>
      </c>
      <c r="E124" s="3" t="s">
        <v>71</v>
      </c>
      <c r="F124" s="3" t="s">
        <v>72</v>
      </c>
      <c r="G124" s="3" t="s">
        <v>72</v>
      </c>
      <c r="H124" s="1" t="s">
        <v>72</v>
      </c>
      <c r="I124" s="3" t="s">
        <v>54</v>
      </c>
      <c r="J124" s="3" t="s">
        <v>114</v>
      </c>
      <c r="K124" s="3">
        <v>1</v>
      </c>
      <c r="L124" s="9" t="str">
        <f t="shared" si="1"/>
        <v>AKIRA NAGAI</v>
      </c>
      <c r="M124" s="32"/>
      <c r="N124" s="32"/>
      <c r="O124" s="3">
        <v>0</v>
      </c>
      <c r="P124" s="18">
        <v>0</v>
      </c>
      <c r="Q124" s="16">
        <v>0</v>
      </c>
      <c r="R124" s="16">
        <v>0</v>
      </c>
      <c r="S124" s="12">
        <v>0</v>
      </c>
    </row>
    <row r="125" spans="1:19" x14ac:dyDescent="0.35">
      <c r="A125" s="21" t="s">
        <v>354</v>
      </c>
      <c r="B125" s="1" t="s">
        <v>84</v>
      </c>
      <c r="C125" s="2">
        <v>27817</v>
      </c>
      <c r="D125" s="2">
        <v>43739</v>
      </c>
      <c r="E125" s="3" t="s">
        <v>47</v>
      </c>
      <c r="F125" s="3" t="s">
        <v>72</v>
      </c>
      <c r="G125" s="3" t="s">
        <v>72</v>
      </c>
      <c r="H125" s="1" t="s">
        <v>72</v>
      </c>
      <c r="I125" s="3" t="s">
        <v>80</v>
      </c>
      <c r="J125" s="3" t="s">
        <v>85</v>
      </c>
      <c r="K125" s="3">
        <v>1</v>
      </c>
      <c r="L125" s="9" t="str">
        <f t="shared" si="1"/>
        <v>TETSUO WAJIMA</v>
      </c>
      <c r="M125" s="32"/>
      <c r="N125" s="32"/>
      <c r="O125" s="3">
        <v>0</v>
      </c>
      <c r="P125" s="18">
        <v>0</v>
      </c>
      <c r="Q125" s="16">
        <v>0</v>
      </c>
      <c r="R125" s="16">
        <v>0</v>
      </c>
      <c r="S125" s="12">
        <v>0</v>
      </c>
    </row>
    <row r="126" spans="1:19" x14ac:dyDescent="0.35">
      <c r="A126" s="11">
        <v>119000015</v>
      </c>
      <c r="B126" s="1" t="s">
        <v>70</v>
      </c>
      <c r="C126" s="2">
        <v>32090</v>
      </c>
      <c r="D126" s="2">
        <v>43556</v>
      </c>
      <c r="E126" s="3" t="s">
        <v>71</v>
      </c>
      <c r="F126" s="3" t="s">
        <v>72</v>
      </c>
      <c r="G126" s="3" t="s">
        <v>72</v>
      </c>
      <c r="H126" s="1" t="s">
        <v>72</v>
      </c>
      <c r="I126" s="3" t="s">
        <v>54</v>
      </c>
      <c r="J126" s="3" t="s">
        <v>55</v>
      </c>
      <c r="K126" s="3">
        <v>1</v>
      </c>
      <c r="L126" s="9" t="str">
        <f t="shared" si="1"/>
        <v>YOICHI OTANI</v>
      </c>
      <c r="M126" s="32"/>
      <c r="N126" s="32"/>
      <c r="O126" s="3">
        <v>0</v>
      </c>
      <c r="P126" s="18">
        <v>0</v>
      </c>
      <c r="Q126" s="16">
        <v>0</v>
      </c>
      <c r="R126" s="16">
        <v>0</v>
      </c>
      <c r="S126" s="12">
        <v>0</v>
      </c>
    </row>
    <row r="127" spans="1:19" x14ac:dyDescent="0.35">
      <c r="A127" s="11">
        <v>120000010</v>
      </c>
      <c r="B127" s="5" t="s">
        <v>236</v>
      </c>
      <c r="C127" s="6">
        <v>26280</v>
      </c>
      <c r="D127" s="6">
        <v>44075</v>
      </c>
      <c r="E127" s="7" t="s">
        <v>237</v>
      </c>
      <c r="F127" s="7" t="s">
        <v>72</v>
      </c>
      <c r="G127" s="7" t="s">
        <v>72</v>
      </c>
      <c r="H127" s="5" t="s">
        <v>72</v>
      </c>
      <c r="I127" s="7" t="s">
        <v>54</v>
      </c>
      <c r="J127" s="7" t="s">
        <v>189</v>
      </c>
      <c r="K127" s="7">
        <v>1</v>
      </c>
      <c r="L127" s="10" t="str">
        <f t="shared" si="1"/>
        <v>YUJI TAKAHASHI</v>
      </c>
      <c r="M127" s="32"/>
      <c r="N127" s="32"/>
      <c r="O127" s="3">
        <v>0</v>
      </c>
      <c r="P127" s="18">
        <v>0</v>
      </c>
      <c r="Q127" s="16">
        <v>0</v>
      </c>
      <c r="R127" s="16">
        <v>0</v>
      </c>
      <c r="S127" s="12">
        <v>0</v>
      </c>
    </row>
    <row r="128" spans="1:19" x14ac:dyDescent="0.35">
      <c r="A128" s="22">
        <v>122050008</v>
      </c>
      <c r="B128" s="8" t="s">
        <v>76</v>
      </c>
    </row>
  </sheetData>
  <sortState ref="B4:P586">
    <sortCondition ref="F3:F586"/>
  </sortState>
  <hyperlinks>
    <hyperlink ref="M2" r:id="rId1" xr:uid="{ED8B6456-CA86-4538-AA2A-B65C65E33081}"/>
    <hyperlink ref="M3" r:id="rId2" xr:uid="{C0744667-EA1D-4482-A0AD-8E14E34AA599}"/>
    <hyperlink ref="M6" r:id="rId3" xr:uid="{8D5F9413-F345-4493-8D16-53BD6DC73FA3}"/>
    <hyperlink ref="N9" r:id="rId4" xr:uid="{C7DEF850-14ED-4CA9-B1AD-461E6054C37E}"/>
    <hyperlink ref="M10" r:id="rId5" xr:uid="{01629A9D-D587-4A51-A8EC-B500C042AD70}"/>
    <hyperlink ref="M11" r:id="rId6" xr:uid="{1670BF6E-9CD2-4274-83AC-29D5429D7AA6}"/>
    <hyperlink ref="M12" r:id="rId7" xr:uid="{01A4BD63-DCF0-40EB-A0BF-F12BFE2058B3}"/>
    <hyperlink ref="M13" r:id="rId8" xr:uid="{97BA56E5-5297-4CF5-8191-E2940DF0846C}"/>
    <hyperlink ref="M15" r:id="rId9" xr:uid="{78A8B053-B0D2-4C99-9107-A6C223D7FCFA}"/>
    <hyperlink ref="M17" r:id="rId10" xr:uid="{FEBE8888-F838-4DE8-B491-F521BC7090BB}"/>
    <hyperlink ref="M19" r:id="rId11" xr:uid="{E8E866BA-E086-4581-8C01-762A1093A0B3}"/>
    <hyperlink ref="N20" r:id="rId12" xr:uid="{73FA7B77-00BD-4A2A-A9F6-261D7F465B79}"/>
    <hyperlink ref="M20" r:id="rId13" xr:uid="{B1C60873-019C-40B5-9761-9BBCE856BE2C}"/>
    <hyperlink ref="M21" r:id="rId14" xr:uid="{1D4A46FA-9158-4369-9AEA-E49E4139E460}"/>
    <hyperlink ref="M24" r:id="rId15" xr:uid="{BEE95253-82BF-40D6-B558-C2D837D24DF6}"/>
    <hyperlink ref="M25" r:id="rId16" xr:uid="{A25389B7-9E72-4CF5-BD28-2FFFD58BF71E}"/>
    <hyperlink ref="M26" r:id="rId17" xr:uid="{3BC7826B-969E-4F5A-9CC9-3337851F12B7}"/>
    <hyperlink ref="M32" r:id="rId18" xr:uid="{7D41817D-2132-44B4-AD56-682DFE8FB83B}"/>
    <hyperlink ref="M33" r:id="rId19" xr:uid="{5093EF45-0494-47A9-99E7-4057BA5AC730}"/>
    <hyperlink ref="M34" r:id="rId20" xr:uid="{A153F907-545D-4D44-B1CE-1981DCA92A73}"/>
    <hyperlink ref="M35" r:id="rId21" xr:uid="{2009E571-36F7-4CBD-8B97-145F4CB94BF3}"/>
    <hyperlink ref="M36" r:id="rId22" xr:uid="{F591C2AF-2B0D-40E0-9F87-A5C0DB68DC6F}"/>
    <hyperlink ref="M37" r:id="rId23" xr:uid="{DE7FAA0E-31A2-407C-B60B-93920CBE526E}"/>
    <hyperlink ref="M38" r:id="rId24" xr:uid="{719DBCE7-5223-4CD8-B668-AC95472CA12A}"/>
    <hyperlink ref="M39" r:id="rId25" xr:uid="{3EAAB886-13AE-4C4A-8A0C-23E117CDCAF8}"/>
    <hyperlink ref="M40" r:id="rId26" xr:uid="{162CA423-5CB5-4065-9409-D8BC80F28980}"/>
    <hyperlink ref="M41" r:id="rId27" xr:uid="{A5FB6433-6885-4648-BC86-E48536D79014}"/>
    <hyperlink ref="M42" r:id="rId28" xr:uid="{6308E330-5744-4A11-990E-87B8014362A5}"/>
    <hyperlink ref="M43" r:id="rId29" xr:uid="{0A990426-1F41-4C7A-A272-2378CBBE2189}"/>
    <hyperlink ref="M44" r:id="rId30" xr:uid="{954DABD9-0E45-4D60-A869-1DF947660AD7}"/>
    <hyperlink ref="M45" r:id="rId31" xr:uid="{CE342BD3-D205-4A80-B093-5A7AE94F3797}"/>
    <hyperlink ref="N45" r:id="rId32" xr:uid="{690E252C-4561-4070-82D6-3B22B575C129}"/>
    <hyperlink ref="M46" r:id="rId33" xr:uid="{E0768469-A067-4D5D-9C9A-AEDD56974712}"/>
    <hyperlink ref="M47" r:id="rId34" xr:uid="{A5B9F4AB-1381-4CF0-96C0-548B0372EAA6}"/>
    <hyperlink ref="M49" r:id="rId35" xr:uid="{3DDBA421-4A4A-4714-BBC6-D315E05B6621}"/>
    <hyperlink ref="M51" r:id="rId36" xr:uid="{0DA65C38-3938-4611-ABD8-0B501358A24F}"/>
    <hyperlink ref="M52" r:id="rId37" xr:uid="{9249BD42-F2EF-4156-9A53-C977737C0BA0}"/>
    <hyperlink ref="M53" r:id="rId38" xr:uid="{3B0156D9-299A-41DA-B17B-0E6B671DBBDF}"/>
    <hyperlink ref="M54" r:id="rId39" xr:uid="{0C8A07FD-7EEB-4D98-8B25-995C8BA9EB84}"/>
    <hyperlink ref="M56" r:id="rId40" xr:uid="{9EF1623D-1A69-48C5-8C9B-44DF072D0C6F}"/>
    <hyperlink ref="M57" r:id="rId41" xr:uid="{9B141478-7ABE-4D5C-A47B-67E274BD9E27}"/>
    <hyperlink ref="M58" r:id="rId42" xr:uid="{E7ADF203-EF27-46AF-B6B8-14B51C1A34DC}"/>
    <hyperlink ref="M59" r:id="rId43" xr:uid="{2AD3E327-4C29-43A2-AD4A-3A7DDCA2BA8E}"/>
    <hyperlink ref="M60" r:id="rId44" xr:uid="{FC4CBEC7-6378-4A1F-BA15-2CC3927DD5F6}"/>
    <hyperlink ref="M61" r:id="rId45" xr:uid="{A533499B-5785-4A99-99E8-2FD15B512A1D}"/>
    <hyperlink ref="M63" r:id="rId46" xr:uid="{1AB9795C-1351-4E21-A123-24851394ACAF}"/>
    <hyperlink ref="M68" r:id="rId47" xr:uid="{48CE296D-3B7A-4BFF-AB67-54CFE015A607}"/>
    <hyperlink ref="M72" r:id="rId48" xr:uid="{C9E28C22-713C-4A14-9BFD-5C6798F086E8}"/>
    <hyperlink ref="M82" r:id="rId49" xr:uid="{D7617935-CE09-4A14-A0B0-3554B99154B7}"/>
    <hyperlink ref="M99" r:id="rId50" xr:uid="{6FDCCBDF-ECB2-4C6F-9464-AA0876566C1B}"/>
    <hyperlink ref="N99" r:id="rId51" xr:uid="{C1336A4C-84D1-4337-B7F8-769626581DDD}"/>
    <hyperlink ref="M100" r:id="rId52" xr:uid="{07E15939-51CD-46B3-A625-681820A89610}"/>
    <hyperlink ref="N100" r:id="rId53" xr:uid="{1F3EC84C-70CE-4CC8-853F-F4A3A3392CE4}"/>
    <hyperlink ref="N107" r:id="rId54" xr:uid="{F112B2C3-6A33-4F18-AD7E-04947A848DDE}"/>
  </hyperlinks>
  <pageMargins left="0.7" right="0.7" top="0.75" bottom="0.75" header="0.3" footer="0.3"/>
  <pageSetup paperSize="9" orientation="portrait" r:id="rId5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PT Berdiri Matahari Logistik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Sulistyowati Handayani</dc:creator>
  <cp:lastModifiedBy>Dudi Ramdani</cp:lastModifiedBy>
  <dcterms:created xsi:type="dcterms:W3CDTF">2023-03-14T04:06:35Z</dcterms:created>
  <dcterms:modified xsi:type="dcterms:W3CDTF">2023-03-20T10:50:21Z</dcterms:modified>
</cp:coreProperties>
</file>